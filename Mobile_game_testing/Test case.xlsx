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 sheetId="1" r:id="rId5"/>
  </sheets>
  <definedNames/>
  <calcPr/>
</workbook>
</file>

<file path=xl/sharedStrings.xml><?xml version="1.0" encoding="utf-8"?>
<sst xmlns="http://schemas.openxmlformats.org/spreadsheetml/2006/main" count="229" uniqueCount="155">
  <si>
    <t>Module Code</t>
  </si>
  <si>
    <t xml:space="preserve">Module1 </t>
  </si>
  <si>
    <t>Pass</t>
  </si>
  <si>
    <t>Test requirement</t>
  </si>
  <si>
    <t>&lt;Brief description about requirements which are tested in this sheet&gt;</t>
  </si>
  <si>
    <t>Fail</t>
  </si>
  <si>
    <t>Tester</t>
  </si>
  <si>
    <t>Untesed</t>
  </si>
  <si>
    <t>Untested</t>
  </si>
  <si>
    <t>N/A</t>
  </si>
  <si>
    <t>Number of Test cases</t>
  </si>
  <si>
    <t>ID</t>
  </si>
  <si>
    <t>Group Name</t>
  </si>
  <si>
    <t>Sub Group Name</t>
  </si>
  <si>
    <t>Test Case Description</t>
  </si>
  <si>
    <t>Precondition</t>
  </si>
  <si>
    <t>Test Case Procedure</t>
  </si>
  <si>
    <t>Test data</t>
  </si>
  <si>
    <t>Expected Output</t>
  </si>
  <si>
    <t>Result</t>
  </si>
  <si>
    <t>Test date</t>
  </si>
  <si>
    <t>Note</t>
  </si>
  <si>
    <t>Access right</t>
  </si>
  <si>
    <t>Kiểm tra quyền chơi</t>
  </si>
  <si>
    <t>Truy cập game thành công</t>
  </si>
  <si>
    <t>Game đã được cài đặt sẵn trên máy</t>
  </si>
  <si>
    <t>Mở app trên đt</t>
  </si>
  <si>
    <t>Có quyền truy cập và mở ứng dụng để chơi</t>
  </si>
  <si>
    <t>Kiểm tra còn lượt chơi hay không</t>
  </si>
  <si>
    <t>Hiển thị số lượng lượt chơi còn lại</t>
  </si>
  <si>
    <t>Kiểm tra thiết bị có mạng internet để chơi không</t>
  </si>
  <si>
    <t>Vẫn chơi được game nếu đang ở chế độ offline với đủ 5 lượt chơi</t>
  </si>
  <si>
    <t>Kiểm tra khi đang nổ kẹo, cộng điểm thì có được hoán đổi kẹo để chơi tiếp không</t>
  </si>
  <si>
    <t>Block các viên kẹo không thực hiện được hành động hoán đổi kẹo</t>
  </si>
  <si>
    <t>UI</t>
  </si>
  <si>
    <t>Kiểm tra số lượng các item</t>
  </si>
  <si>
    <t>1. Kiểm tra số lượng các item</t>
  </si>
  <si>
    <t>1. Hiển thị theo đúng design</t>
  </si>
  <si>
    <t>Kiểm tra vị trí, font chữ, size chữ, màu sắc</t>
  </si>
  <si>
    <t>1. Kiểm tra vị trí, font chữ, size chữ, màu sắc</t>
  </si>
  <si>
    <t>1. Hiển thị đúng theo design</t>
  </si>
  <si>
    <t>Kiểm tra trạng thái</t>
  </si>
  <si>
    <t>1. Kiểm tra trạng thái các item</t>
  </si>
  <si>
    <t>1. Các item đều ở trạng thái enable theo đúng design</t>
  </si>
  <si>
    <t>Kiểm tra giá trị default</t>
  </si>
  <si>
    <t>1. Kiểm tra các giá trị default</t>
  </si>
  <si>
    <t>Thực hiện được các chức năng theo yêu cầu</t>
  </si>
  <si>
    <t>Animation khi nổ kẹo</t>
  </si>
  <si>
    <t>1. Sắp xếp kẹo nổ cùng lúc</t>
  </si>
  <si>
    <t>1. Animation mượt, không rối mắt khi nổ, kẹo rơi không bị lag, khựng</t>
  </si>
  <si>
    <t>Animation khi tạo combo kẹo</t>
  </si>
  <si>
    <t>1. Hiện content khen ngợi
2. Animation chạy mượt, không lag
3. Tạo ra âm thanh và rung khi nổ combo kẹo</t>
  </si>
  <si>
    <t>Animation khi cộng điểm</t>
  </si>
  <si>
    <t>Khi quay ngang màn hình, để dọc màn hình</t>
  </si>
  <si>
    <t>User đang ở màn hình chơi game</t>
  </si>
  <si>
    <t>Tắt chế độ khoá xoay màn hình
Đang chơi game thì xoay ngang điện thoại màn hình</t>
  </si>
  <si>
    <t>Game không cho phép xoay ngang màn hình
Người chơi vẫn chơi được bình thường ở màn hình cũ</t>
  </si>
  <si>
    <t>Check business</t>
  </si>
  <si>
    <t>Swap (Hoán đổi kẹo)</t>
  </si>
  <si>
    <t>Hoán đổi tạo chuỗi 3 viên hợp lệ theo hàng ngang</t>
  </si>
  <si>
    <t>1. Chọn 1 viên kẹo.
2. Hoán đổi với viên kề bên cùng màu theo chiều ngang để tạo hàng 3</t>
  </si>
  <si>
    <t>1. Kẹo hoán đổi vị trí thành công
2. Animation thực hiện
3. Chuỗi 3 viên biến mất.</t>
  </si>
  <si>
    <t>Hoán đổi tạo chuỗi 3 viên hợp lệ theo hàng dọc</t>
  </si>
  <si>
    <t>1. Chọn 1 viên kẹo.
2. Hoán đổi với viên kề bên cùng màu theo chiều dọc để tạo hàng 3</t>
  </si>
  <si>
    <t>Hoán đổi tạo chuỗi 3 viên hợp lệ theo hàng chéo</t>
  </si>
  <si>
    <t>1. Chọn 1 viên kẹo.
2. Hoán đổi với viên kề bên cùng màu theo hàng chéo để tạo hàng 3</t>
  </si>
  <si>
    <t>1. Hệ thống không cho phép kéo
2. Animation không thực hiện</t>
  </si>
  <si>
    <t>Hoán đổi không tạo được chuỗi theo hàng ngang (2 viên)</t>
  </si>
  <si>
    <t>1. Chọn 1 viên kẹo.
2. Hoán đổi với viên kề bên khác màu theo chiều ngang để tạo thành hàng ngang</t>
  </si>
  <si>
    <t>Hai viên kẹo thực hiện animation trượt rồi quay về vị trí cũ.</t>
  </si>
  <si>
    <t>Vẫn cho phép hoán đổi 1 viên kẹo đặc biệt + 1 viên kẹo khác màu</t>
  </si>
  <si>
    <t>Hoán đổi không tạo được chuỗi theo hàng dọc (2 viên)</t>
  </si>
  <si>
    <t>1. Chọn 1 viên kẹo.
2. Hoán đổi với viên kề bên khác màu theo chiều dọc để tạo thành hàng dọc</t>
  </si>
  <si>
    <t>Hoán đổi kẹo ở biên bảng</t>
  </si>
  <si>
    <t>1. Chọn viên kẹo ở góc hoặc cạnh.
2. Thử hoán đổi ra ngoài vùng biên.</t>
  </si>
  <si>
    <t>Không có hành động hoán đổi nào xảy ra.</t>
  </si>
  <si>
    <t>Swap khi animation đang chạy</t>
  </si>
  <si>
    <t>User đang ở màn hình chơi game và kẹo đang rơi, animation đang chạy</t>
  </si>
  <si>
    <t>1. Chọn kẹo hoán đổi vị trí kề bên</t>
  </si>
  <si>
    <t>1. Hệ thống không cho phép swap</t>
  </si>
  <si>
    <t>Hoán đổi chuỗi kẹo thành 4 viên</t>
  </si>
  <si>
    <t>1. Kẹo hoán đổi vị trí thành công
2. Animation thực hiện
3. Chuỗi 4 viên biến mất.</t>
  </si>
  <si>
    <t>Hoán đổi chuỗi kẹo thành 5 viên</t>
  </si>
  <si>
    <t>1. Kẹo hoán đổi vị trí thành công
2. Animation thực hiện
3. Chuỗi 5 viên biến mất.</t>
  </si>
  <si>
    <t>Match &amp; score (Loại bỏ và tính điểm)</t>
  </si>
  <si>
    <t>Loại bỏ 3 kẹo hợp lệ theo hàng ngang + điểm cộng cơ bản</t>
  </si>
  <si>
    <t>1. Sắp xếp 3 viên kẹo hợp lệ theo hàng ngang</t>
  </si>
  <si>
    <t>1. Kẹo hoán đổi vị trí thành công
2. Animation thực hiện
3. Chuỗi 3 viên biến mất.
4. Điểm cộng +30</t>
  </si>
  <si>
    <t>Loại bỏ 3 kẹo hợp lệ theo hàng dọc + điểm cộng cơ bản</t>
  </si>
  <si>
    <t>1. Sắp xếp 3 viên kẹo hợp lệ theo hàng dọc</t>
  </si>
  <si>
    <t>Loại bỏ 5 viên kẹo theo cả cột và hàng (hình chữ L/T) + điểm cộng cơ bản</t>
  </si>
  <si>
    <t>1. Sắp xếp kẹo để tạo chuỗi 5 viên hình chữ L hoặc T.</t>
  </si>
  <si>
    <t>1. Cả hàng và cột cùng màu đều được loại bỏ cùng lúc
2. Animation thực hiện
3. Điểm cộng +50</t>
  </si>
  <si>
    <t>Kiểm tra cộng điểm combo</t>
  </si>
  <si>
    <t>1. Sắp xếp kẹo để tạo chuỗi 5 viên hình chữ L hoặc T.
2. Các viên kẹo rơi xuống tiếp tục tạo combo tự nổ</t>
  </si>
  <si>
    <t>1. Cả hàng và cột cùng màu đều được loại bỏ cùng lúc
2. Animation thực hiện
3. Điểm cộng +50
4. Điểm cộng theo hệ số combo như SRS</t>
  </si>
  <si>
    <t>Drop &amp; Refill (Rơi kẹo và lấp đầy)</t>
  </si>
  <si>
    <t>Lấp đầy khoảng trống</t>
  </si>
  <si>
    <t>1. Tạo một vụ nổ ở hàng dưới cùng.</t>
  </si>
  <si>
    <t>1.Kẹo phía trên rơi xuống đúng vị trí trống. 
2.Kẹo mới sinh ra ở hàng trên cùng.
3.Animation rơi kẹo mượt mà.</t>
  </si>
  <si>
    <t>Kẹo mới sinh ngẫu nhiên</t>
  </si>
  <si>
    <t>1. Làm nổ kẹo nhiều lần.</t>
  </si>
  <si>
    <t>1.Các viên kẹo mới xuất hiện có màu sắc ngẫu nhiên, không bị lặp lại một khuôn mẫu cố định gây lỗi game.
2. Animation rơi kẹo mượt</t>
  </si>
  <si>
    <t>Không còn chuỗi sau khi rơi</t>
  </si>
  <si>
    <t>Làm nổ kẹo ở vị trí bất kì
Kẹo từ trên vị trí trên cùng rơi xuống và không còn chuỗi nào được tạo</t>
  </si>
  <si>
    <t>Không xuất hiện chuỗi mới nào được tạo để nổ kẹo nữa</t>
  </si>
  <si>
    <t>Kẹo phía trên rơi xuống đúng vị trí</t>
  </si>
  <si>
    <t>Làm nổ kẹo ở vị trí bất kì</t>
  </si>
  <si>
    <t>Các viên kẹo mới sẽ xuất hiện từ trên cùng đi dần xuống và lấp đầy lại vị trí trống kẹo</t>
  </si>
  <si>
    <t>Kẹo rơi xuống từ vị trí trên cùng</t>
  </si>
  <si>
    <t>Special candy</t>
  </si>
  <si>
    <t>Tạo kẹo sọc (4 viên)</t>
  </si>
  <si>
    <t>1. Hoán đổi tạo hàng hoặc cột 4 viên cùng màu.</t>
  </si>
  <si>
    <t>Xuất hiện 1 viên kẹo đặc biệt (Striped Candy).</t>
  </si>
  <si>
    <t>Tạo kẹo màu (5 viên)</t>
  </si>
  <si>
    <t>1. Hoán đổi tạo hàng 5 viên thẳng hàng.</t>
  </si>
  <si>
    <t>Xuất hiện viên kẹo ngũ sắc (Color Bomb).</t>
  </si>
  <si>
    <t>Kích hoạt kẹo đặc biệt</t>
  </si>
  <si>
    <t>1. Hoán đổi viên kẹo màu (5 viên) với một viên kẹo thường bất kỳ.</t>
  </si>
  <si>
    <t>Toàn bộ kẹo cùng màu với viên thường đó trên bảng bị xóa sạch.</t>
  </si>
  <si>
    <t>Other</t>
  </si>
  <si>
    <t>Stress test</t>
  </si>
  <si>
    <t>Spam touch liên tục</t>
  </si>
  <si>
    <t>1. Kích hoạt combo lớn.
2. Chạm liên tục (spam) vào nhiều vị trí trên màn hình khi kẹo đang rơi.</t>
  </si>
  <si>
    <t>1. Game không crash. 
2. Các cú chạm bị ignore cho đến khi bảng kẹo tĩnh.</t>
  </si>
  <si>
    <t>Interrupt</t>
  </si>
  <si>
    <t>Thoát app khi đang nổ kẹo</t>
  </si>
  <si>
    <t>1. Khi kẹo đang nổ, nhấn nút Home hoặc nhận cuộc gọi.
2. Quay lại App.</t>
  </si>
  <si>
    <t>1. Game tạm dừng (Pause).
2. Khi quay lại, trạng thái kẹo và điểm phải chính xác tại thời điểm đang chơi hoặc hoàn tác</t>
  </si>
  <si>
    <t>Rớt mạng khi đang chơi</t>
  </si>
  <si>
    <t>1. Khi kẹo đang nổ, đt bị mất mạng</t>
  </si>
  <si>
    <t>1. Hiển thị loading... khi xảy ra mất mạng
2. Vào lại app thì trạng thái của game giữ nguyên như trước khi thoát
3. Vẫn tiếp tục chơi được khi offline</t>
  </si>
  <si>
    <t>Battery</t>
  </si>
  <si>
    <t>Chơi khi tình trạng pin yếu, vừa sạc vừa chơi</t>
  </si>
  <si>
    <t>User đang ở màn hình chơi game
Pin &lt; 20%</t>
  </si>
  <si>
    <t>1. ĐT pin &lt; 20%, vừa sạc vừa chơi
2. Chơi liên tục trong vòng 15-30p</t>
  </si>
  <si>
    <t>1. Game vẫn chơi mượt mà không bị lag, giật
2. Không có hiện tượng loạn cảm ứng do dòng điện sạc</t>
  </si>
  <si>
    <t>1. Nóng máy
2. Chậm và giật khi chơi</t>
  </si>
  <si>
    <t>Kiểm tra thông báo Pin yếu (System Pop-up)</t>
  </si>
  <si>
    <t>1. Chơi game đến khi pin xuống &lt; 20%.
2. Đợi thông báo hệ thống hiện lên.</t>
  </si>
  <si>
    <t>1. Thông báo hiện đè lên game.
2. Game tự động Pause cho đến khi User tắt thông báo</t>
  </si>
  <si>
    <t>Kiểm tra chế độ tiết kiệm pin</t>
  </si>
  <si>
    <t>1. Bật chế độ Tiết kiệm pin của máy.
2. Chơi game liên tục 30p</t>
  </si>
  <si>
    <t>1. Game vẫn chơi mượt mà không bị lag, giật
2. Nếu game có tính năng giảm đồ hoạ để tiết kiệm pin thì tính năng phải được bật</t>
  </si>
  <si>
    <t>Kiểm tra hiển thị UI Pin trong Game</t>
  </si>
  <si>
    <t>1. Quan sát icon pin trong giao diện game.
2. Cắm sạc và rút sạc.</t>
  </si>
  <si>
    <t>1. Icon pin trong game phải cập nhật trạng thái "Charging" ngay lập tức.
2. Phần trăm pin hiển thị khớp với hệ thống.</t>
  </si>
  <si>
    <t>Không có UI về pin trong giao diện game</t>
  </si>
  <si>
    <t>Kiểm tra sự ổn định khi sạc đầy (100%)</t>
  </si>
  <si>
    <t>1. Vừa chơi vừa sạc cho đến khi pin đầy 100%.
2. Quan sát tốc độ pin đầy nhanh hay chậm</t>
  </si>
  <si>
    <t>1. Game không bị crash khi chuyển giao giữa trạng thái "Đang sạc" sang "Đã sạc đầy".</t>
  </si>
  <si>
    <t>Kiểm tra nhiệt của máy khi quá nhiệt</t>
  </si>
  <si>
    <t>1. Chơi game liên tục trong thời gian dài khi đang sạc để máy nóng lên</t>
  </si>
  <si>
    <t>1. Nếu máy nóng lên quá, game không được crash/lag/giật/chậm
2. Hiện thị thông báo máy đang nóng quá mức độ cho phép chơi của game</t>
  </si>
  <si>
    <t>Không có thông báo về việc máy đang nóng lên
Máy nóng lên quá mức game bị lag, giật, animation không mượt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</si>
</sst>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0.0"/>
      <color rgb="FF000000"/>
      <name val="Tahoma"/>
    </font>
    <font>
      <b/>
      <sz val="10.0"/>
      <color theme="1"/>
      <name val="Tahoma"/>
    </font>
    <font>
      <sz val="10.0"/>
      <color theme="1"/>
      <name val="Tahoma"/>
    </font>
    <font>
      <sz val="10.0"/>
      <color rgb="FFDD0806"/>
      <name val="Tahoma"/>
    </font>
    <font>
      <i/>
      <sz val="10.0"/>
      <color rgb="FF006411"/>
      <name val="Tahoma"/>
    </font>
    <font>
      <color theme="1"/>
      <name val="Arial"/>
      <scheme val="minor"/>
    </font>
    <font>
      <b/>
      <sz val="10.0"/>
      <color rgb="FF000000"/>
      <name val="Tahoma"/>
    </font>
    <font>
      <b/>
      <sz val="10.0"/>
      <color rgb="FFFFFFFF"/>
      <name val="Tahoma"/>
    </font>
    <font>
      <b/>
      <sz val="10.0"/>
      <color rgb="FFDD0806"/>
      <name val="Tahoma"/>
    </font>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000090"/>
        <bgColor rgb="FF000090"/>
      </patternFill>
    </fill>
  </fills>
  <borders count="25">
    <border/>
    <border>
      <left/>
      <right/>
      <top/>
      <bottom style="medium">
        <color rgb="FF000000"/>
      </bottom>
    </border>
    <border>
      <left/>
      <right/>
      <top/>
      <bottom/>
    </border>
    <border>
      <left style="medium">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style="thin">
        <color rgb="FF000000"/>
      </top>
      <bottom/>
    </border>
    <border>
      <left/>
      <right style="thin">
        <color rgb="FF000000"/>
      </right>
      <top style="thin">
        <color rgb="FF000000"/>
      </top>
      <bottom style="thin">
        <color rgb="FF000000"/>
      </bottom>
    </border>
    <border>
      <left style="thin">
        <color rgb="FF000000"/>
      </left>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shrinkToFit="0" vertical="top" wrapText="0"/>
    </xf>
    <xf borderId="1" fillId="2" fontId="1" numFmtId="0" xfId="0" applyAlignment="1" applyBorder="1" applyFont="1">
      <alignment shrinkToFit="0" vertical="top" wrapText="1"/>
    </xf>
    <xf borderId="2" fillId="2" fontId="1" numFmtId="0" xfId="0" applyAlignment="1" applyBorder="1" applyFont="1">
      <alignment shrinkToFit="0" vertical="top" wrapText="1"/>
    </xf>
    <xf borderId="2" fillId="2" fontId="2" numFmtId="0" xfId="0" applyAlignment="1" applyBorder="1" applyFont="1">
      <alignment shrinkToFit="0" vertical="top" wrapText="1"/>
    </xf>
    <xf borderId="2" fillId="2" fontId="3" numFmtId="0" xfId="0" applyAlignment="1" applyBorder="1" applyFont="1">
      <alignment shrinkToFit="0" vertical="top" wrapText="1"/>
    </xf>
    <xf borderId="2" fillId="2" fontId="4" numFmtId="0" xfId="0" applyAlignment="1" applyBorder="1" applyFont="1">
      <alignment shrinkToFit="0" vertical="top" wrapText="1"/>
    </xf>
    <xf borderId="2" fillId="2" fontId="1" numFmtId="0" xfId="0" applyAlignment="1" applyBorder="1" applyFont="1">
      <alignment shrinkToFit="0" vertical="top" wrapText="0"/>
    </xf>
    <xf borderId="3" fillId="2" fontId="2" numFmtId="0" xfId="0" applyAlignment="1" applyBorder="1" applyFont="1">
      <alignment horizontal="left" shrinkToFit="0" vertical="top" wrapText="1"/>
    </xf>
    <xf borderId="4" fillId="2" fontId="5" numFmtId="0" xfId="0" applyAlignment="1" applyBorder="1" applyFont="1">
      <alignment shrinkToFit="0" vertical="top" wrapText="1"/>
    </xf>
    <xf borderId="5" fillId="2" fontId="5" numFmtId="0" xfId="0" applyAlignment="1" applyBorder="1" applyFont="1">
      <alignment shrinkToFit="0" vertical="top" wrapText="1"/>
    </xf>
    <xf borderId="6" fillId="2" fontId="5" numFmtId="0" xfId="0" applyAlignment="1" applyBorder="1" applyFont="1">
      <alignment shrinkToFit="0" vertical="top" wrapText="1"/>
    </xf>
    <xf borderId="7" fillId="2" fontId="5" numFmtId="0" xfId="0" applyAlignment="1" applyBorder="1" applyFont="1">
      <alignment shrinkToFit="0" vertical="top" wrapText="1"/>
    </xf>
    <xf borderId="2" fillId="2" fontId="5" numFmtId="0" xfId="0" applyAlignment="1" applyBorder="1" applyFont="1">
      <alignment shrinkToFit="0" vertical="top" wrapText="1"/>
    </xf>
    <xf borderId="2" fillId="2" fontId="5" numFmtId="0" xfId="0" applyAlignment="1" applyBorder="1" applyFont="1">
      <alignment horizontal="left" shrinkToFit="0" vertical="top" wrapText="1"/>
    </xf>
    <xf borderId="0" fillId="0" fontId="6" numFmtId="0" xfId="0" applyFont="1"/>
    <xf borderId="8" fillId="2" fontId="2" numFmtId="0" xfId="0" applyAlignment="1" applyBorder="1" applyFont="1">
      <alignment horizontal="left" shrinkToFit="0" vertical="top" wrapText="1"/>
    </xf>
    <xf borderId="9" fillId="2" fontId="5" numFmtId="0" xfId="0" applyAlignment="1" applyBorder="1" applyFont="1">
      <alignment shrinkToFit="0" vertical="top" wrapText="1"/>
    </xf>
    <xf borderId="10" fillId="2" fontId="5" numFmtId="0" xfId="0" applyAlignment="1" applyBorder="1" applyFont="1">
      <alignment shrinkToFit="0" vertical="top" wrapText="1"/>
    </xf>
    <xf borderId="11" fillId="2" fontId="5" numFmtId="0" xfId="0" applyAlignment="1" applyBorder="1" applyFont="1">
      <alignment shrinkToFit="0" vertical="top" wrapText="1"/>
    </xf>
    <xf borderId="12" fillId="2" fontId="5" numFmtId="0" xfId="0" applyAlignment="1" applyBorder="1" applyFont="1">
      <alignment shrinkToFit="0" vertical="top" wrapText="1"/>
    </xf>
    <xf borderId="13" fillId="2" fontId="5" numFmtId="0" xfId="0" applyAlignment="1" applyBorder="1" applyFont="1">
      <alignment shrinkToFit="0" vertical="top" wrapText="1"/>
    </xf>
    <xf borderId="2" fillId="2" fontId="5" numFmtId="0" xfId="0" applyAlignment="1" applyBorder="1" applyFont="1">
      <alignment horizontal="center" shrinkToFit="0" vertical="top" wrapText="1"/>
    </xf>
    <xf borderId="14" fillId="2" fontId="7" numFmtId="0" xfId="0" applyAlignment="1" applyBorder="1" applyFont="1">
      <alignment horizontal="center" shrinkToFit="0" vertical="top" wrapText="0"/>
    </xf>
    <xf borderId="15" fillId="2" fontId="7" numFmtId="0" xfId="0" applyAlignment="1" applyBorder="1" applyFont="1">
      <alignment horizontal="center" shrinkToFit="0" vertical="top" wrapText="1"/>
    </xf>
    <xf borderId="2" fillId="2" fontId="7" numFmtId="0" xfId="0" applyAlignment="1" applyBorder="1" applyFont="1">
      <alignment horizontal="center" shrinkToFit="0" vertical="top" wrapText="1"/>
    </xf>
    <xf borderId="2" fillId="2" fontId="3" numFmtId="0" xfId="0" applyAlignment="1" applyBorder="1" applyFont="1">
      <alignment horizontal="center" shrinkToFit="0" vertical="top" wrapText="1"/>
    </xf>
    <xf borderId="2" fillId="2" fontId="4" numFmtId="0" xfId="0" applyAlignment="1" applyBorder="1" applyFont="1">
      <alignment horizontal="center" shrinkToFit="0" vertical="top" wrapText="1"/>
    </xf>
    <xf borderId="16" fillId="2" fontId="1" numFmtId="0" xfId="0" applyAlignment="1" applyBorder="1" applyFont="1">
      <alignment horizontal="center" shrinkToFit="0" vertical="top" wrapText="0"/>
    </xf>
    <xf borderId="17" fillId="2" fontId="1" numFmtId="0" xfId="0" applyAlignment="1" applyBorder="1" applyFont="1">
      <alignment horizontal="center" shrinkToFit="0" vertical="top" wrapText="0"/>
    </xf>
    <xf borderId="18" fillId="2" fontId="1" numFmtId="0" xfId="0" applyAlignment="1" applyBorder="1" applyFont="1">
      <alignment horizontal="center" shrinkToFit="0" vertical="top" wrapText="0"/>
    </xf>
    <xf borderId="2" fillId="2" fontId="1" numFmtId="0" xfId="0" applyAlignment="1" applyBorder="1" applyFont="1">
      <alignment horizontal="center" shrinkToFit="0" vertical="top" wrapText="0"/>
    </xf>
    <xf borderId="2" fillId="2" fontId="1" numFmtId="0" xfId="0" applyAlignment="1" applyBorder="1" applyFont="1">
      <alignment horizontal="center" shrinkToFit="0" vertical="top" wrapText="1"/>
    </xf>
    <xf borderId="15" fillId="3" fontId="8" numFmtId="0" xfId="0" applyAlignment="1" applyBorder="1" applyFill="1" applyFont="1">
      <alignment horizontal="center" shrinkToFit="0" vertical="top" wrapText="1"/>
    </xf>
    <xf borderId="15" fillId="3" fontId="8" numFmtId="0" xfId="0" applyAlignment="1" applyBorder="1" applyFont="1">
      <alignment horizontal="center" readingOrder="0" shrinkToFit="0" vertical="top" wrapText="1"/>
    </xf>
    <xf borderId="19" fillId="3" fontId="8" numFmtId="0" xfId="0" applyAlignment="1" applyBorder="1" applyFont="1">
      <alignment horizontal="center" shrinkToFit="0" vertical="top" wrapText="1"/>
    </xf>
    <xf borderId="2" fillId="2" fontId="9" numFmtId="0" xfId="0" applyAlignment="1" applyBorder="1" applyFont="1">
      <alignment horizontal="center" shrinkToFit="0" vertical="top" wrapText="1"/>
    </xf>
    <xf borderId="15" fillId="2" fontId="3" numFmtId="0" xfId="0" applyAlignment="1" applyBorder="1" applyFont="1">
      <alignment shrinkToFit="0" vertical="top" wrapText="1"/>
    </xf>
    <xf borderId="20" fillId="2" fontId="3" numFmtId="0" xfId="0" applyAlignment="1" applyBorder="1" applyFont="1">
      <alignment horizontal="left" shrinkToFit="0" vertical="top" wrapText="1"/>
    </xf>
    <xf borderId="15" fillId="2" fontId="3" numFmtId="0" xfId="0" applyAlignment="1" applyBorder="1" applyFont="1">
      <alignment readingOrder="0" shrinkToFit="0" vertical="top" wrapText="1"/>
    </xf>
    <xf borderId="15" fillId="2" fontId="1" numFmtId="0" xfId="0" applyAlignment="1" applyBorder="1" applyFont="1">
      <alignment horizontal="left" readingOrder="0" shrinkToFit="0" vertical="top" wrapText="1"/>
    </xf>
    <xf borderId="21" fillId="0" fontId="10" numFmtId="0" xfId="0" applyBorder="1" applyFont="1"/>
    <xf borderId="22" fillId="0" fontId="10" numFmtId="0" xfId="0" applyBorder="1" applyFont="1"/>
    <xf borderId="2" fillId="2" fontId="3" numFmtId="0" xfId="0" applyAlignment="1" applyBorder="1" applyFont="1">
      <alignment shrinkToFit="0" vertical="top" wrapText="0"/>
    </xf>
    <xf borderId="15" fillId="2" fontId="3" numFmtId="0" xfId="0" applyAlignment="1" applyBorder="1" applyFont="1">
      <alignment shrinkToFit="0" vertical="top" wrapText="0"/>
    </xf>
    <xf borderId="2" fillId="2" fontId="4" numFmtId="0" xfId="0" applyAlignment="1" applyBorder="1" applyFont="1">
      <alignment shrinkToFit="0" vertical="top" wrapText="0"/>
    </xf>
    <xf borderId="23" fillId="2" fontId="3" numFmtId="0" xfId="0" applyAlignment="1" applyBorder="1" applyFont="1">
      <alignment readingOrder="0" shrinkToFit="0" vertical="top" wrapText="1"/>
    </xf>
    <xf borderId="20" fillId="2" fontId="3" numFmtId="0" xfId="0" applyAlignment="1" applyBorder="1" applyFont="1">
      <alignment horizontal="left" readingOrder="0" shrinkToFit="0" vertical="top" wrapText="1"/>
    </xf>
    <xf borderId="15" fillId="0" fontId="6" numFmtId="0" xfId="0" applyAlignment="1" applyBorder="1" applyFont="1">
      <alignment readingOrder="0" shrinkToFit="0" vertical="top" wrapText="1"/>
    </xf>
    <xf borderId="15" fillId="2" fontId="3" numFmtId="0" xfId="0" applyAlignment="1" applyBorder="1" applyFont="1">
      <alignment readingOrder="0" shrinkToFit="0" vertical="top" wrapText="0"/>
    </xf>
    <xf borderId="24" fillId="2" fontId="4" numFmtId="0" xfId="0" applyAlignment="1" applyBorder="1" applyFont="1">
      <alignment shrinkToFit="0" vertical="top" wrapText="0"/>
    </xf>
    <xf borderId="20" fillId="0" fontId="6" numFmtId="0" xfId="0" applyAlignment="1" applyBorder="1" applyFont="1">
      <alignment readingOrder="0" shrinkToFit="0" vertical="top" wrapText="1"/>
    </xf>
    <xf borderId="15" fillId="2" fontId="3" numFmtId="0" xfId="0" applyAlignment="1" applyBorder="1" applyFont="1">
      <alignment shrinkToFit="0" vertical="top" wrapText="1"/>
    </xf>
    <xf borderId="15" fillId="0" fontId="11" numFmtId="0" xfId="0" applyAlignment="1" applyBorder="1" applyFont="1">
      <alignment shrinkToFit="0" vertical="top" wrapText="1"/>
    </xf>
    <xf borderId="15" fillId="0" fontId="6" numFmtId="0" xfId="0" applyAlignment="1" applyBorder="1" applyFont="1">
      <alignment shrinkToFit="0" vertical="top" wrapText="1"/>
    </xf>
    <xf borderId="15" fillId="0" fontId="6" numFmtId="0" xfId="0" applyAlignment="1" applyBorder="1" applyFont="1">
      <alignment readingOrder="0" vertical="top"/>
    </xf>
    <xf borderId="20" fillId="0" fontId="6" numFmtId="0" xfId="0" applyAlignment="1" applyBorder="1" applyFont="1">
      <alignment readingOrder="0" vertical="top"/>
    </xf>
    <xf borderId="0" fillId="0" fontId="6" numFmtId="0" xfId="0" applyAlignment="1" applyFont="1">
      <alignment readingOrder="0" shrinkToFit="0" vertical="top" wrapText="1"/>
    </xf>
  </cellXfs>
  <cellStyles count="1">
    <cellStyle xfId="0" name="Normal" builtinId="0"/>
  </cellStyles>
  <dxfs count="6">
    <dxf>
      <font>
        <color rgb="FF006411"/>
      </font>
      <fill>
        <patternFill patternType="solid">
          <fgColor rgb="FFCCFFCC"/>
          <bgColor rgb="FFCCFFCC"/>
        </patternFill>
      </fill>
      <border/>
    </dxf>
    <dxf>
      <font/>
      <fill>
        <patternFill patternType="solid">
          <fgColor rgb="FFD8D8D8"/>
          <bgColor rgb="FFD8D8D8"/>
        </patternFill>
      </fill>
      <border/>
    </dxf>
    <dxf>
      <font>
        <color rgb="FFFFFFFF"/>
      </font>
      <fill>
        <patternFill patternType="solid">
          <fgColor rgb="FFDD0806"/>
          <bgColor rgb="FFDD0806"/>
        </patternFill>
      </fill>
      <border/>
    </dxf>
    <dxf>
      <font/>
      <fill>
        <patternFill patternType="solid">
          <fgColor rgb="FF008080"/>
          <bgColor rgb="FF008080"/>
        </patternFill>
      </fill>
      <border/>
    </dxf>
    <dxf>
      <font/>
      <fill>
        <patternFill patternType="solid">
          <fgColor rgb="FFDD0806"/>
          <bgColor rgb="FFDD0806"/>
        </patternFill>
      </fill>
      <border/>
    </dxf>
    <dxf>
      <font>
        <color theme="0"/>
      </font>
      <fill>
        <patternFill patternType="solid">
          <fgColor rgb="FFDD0806"/>
          <bgColor rgb="FFDD080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4.38"/>
    <col customWidth="1" min="2" max="3" width="20.38"/>
    <col customWidth="1" min="4" max="4" width="26.13"/>
    <col customWidth="1" min="5" max="5" width="22.88"/>
    <col customWidth="1" min="6" max="6" width="31.0"/>
    <col customWidth="1" min="7" max="7" width="25.88"/>
    <col customWidth="1" min="8" max="8" width="30.13"/>
    <col customWidth="1" min="9" max="9" width="15.13"/>
    <col customWidth="1" min="10" max="10" width="16.38"/>
    <col customWidth="1" min="11" max="11" width="15.88"/>
    <col customWidth="1" min="12" max="12" width="8.13"/>
    <col customWidth="1" min="13" max="26" width="10.0"/>
  </cols>
  <sheetData>
    <row r="1" ht="13.5" customHeight="1">
      <c r="A1" s="1"/>
      <c r="B1" s="2"/>
      <c r="C1" s="2"/>
      <c r="D1" s="3"/>
      <c r="E1" s="3"/>
      <c r="F1" s="3"/>
      <c r="G1" s="3"/>
      <c r="H1" s="3"/>
      <c r="I1" s="3"/>
      <c r="J1" s="4"/>
      <c r="K1" s="5"/>
      <c r="L1" s="6"/>
      <c r="M1" s="7"/>
      <c r="N1" s="7"/>
      <c r="O1" s="7"/>
      <c r="P1" s="7"/>
      <c r="Q1" s="7"/>
      <c r="R1" s="7"/>
      <c r="S1" s="7"/>
      <c r="T1" s="7"/>
      <c r="U1" s="7"/>
      <c r="V1" s="7"/>
      <c r="W1" s="7"/>
      <c r="X1" s="7"/>
      <c r="Y1" s="7"/>
      <c r="Z1" s="7"/>
    </row>
    <row r="2" ht="28.5" customHeight="1">
      <c r="A2" s="8" t="s">
        <v>0</v>
      </c>
      <c r="B2" s="9" t="s">
        <v>1</v>
      </c>
      <c r="C2" s="10"/>
      <c r="D2" s="11"/>
      <c r="E2" s="12"/>
      <c r="F2" s="13"/>
      <c r="G2" s="14"/>
      <c r="I2" s="15"/>
      <c r="J2" s="5"/>
      <c r="K2" s="5"/>
      <c r="L2" s="6"/>
      <c r="M2" s="7" t="s">
        <v>2</v>
      </c>
      <c r="N2" s="7"/>
      <c r="O2" s="7"/>
      <c r="P2" s="7"/>
      <c r="Q2" s="7"/>
      <c r="R2" s="7"/>
      <c r="S2" s="7"/>
      <c r="T2" s="7"/>
      <c r="U2" s="7"/>
      <c r="V2" s="7"/>
      <c r="W2" s="7"/>
      <c r="X2" s="7"/>
      <c r="Y2" s="7"/>
      <c r="Z2" s="7"/>
    </row>
    <row r="3" ht="25.5" customHeight="1">
      <c r="A3" s="16" t="s">
        <v>3</v>
      </c>
      <c r="B3" s="17" t="s">
        <v>4</v>
      </c>
      <c r="C3" s="18"/>
      <c r="D3" s="19"/>
      <c r="E3" s="20"/>
      <c r="F3" s="13"/>
      <c r="G3" s="14"/>
      <c r="H3" s="13"/>
      <c r="I3" s="13"/>
      <c r="J3" s="5"/>
      <c r="K3" s="5"/>
      <c r="L3" s="6"/>
      <c r="M3" s="7" t="s">
        <v>5</v>
      </c>
      <c r="N3" s="7"/>
      <c r="O3" s="7"/>
      <c r="P3" s="7"/>
      <c r="Q3" s="7"/>
      <c r="R3" s="7"/>
      <c r="S3" s="7"/>
      <c r="T3" s="7"/>
      <c r="U3" s="7"/>
      <c r="V3" s="7"/>
      <c r="W3" s="7"/>
      <c r="X3" s="7"/>
      <c r="Y3" s="7"/>
      <c r="Z3" s="7"/>
    </row>
    <row r="4" ht="18.0" customHeight="1">
      <c r="A4" s="8" t="s">
        <v>6</v>
      </c>
      <c r="B4" s="21"/>
      <c r="C4" s="19"/>
      <c r="D4" s="19"/>
      <c r="E4" s="20"/>
      <c r="F4" s="13"/>
      <c r="G4" s="22"/>
      <c r="H4" s="13"/>
      <c r="I4" s="13"/>
      <c r="J4" s="5"/>
      <c r="K4" s="5"/>
      <c r="L4" s="6"/>
      <c r="M4" s="7" t="s">
        <v>7</v>
      </c>
      <c r="N4" s="7"/>
      <c r="O4" s="7"/>
      <c r="P4" s="7"/>
      <c r="Q4" s="7"/>
      <c r="R4" s="7"/>
      <c r="S4" s="7"/>
      <c r="T4" s="7"/>
      <c r="U4" s="7"/>
      <c r="V4" s="7"/>
      <c r="W4" s="7"/>
      <c r="X4" s="7"/>
      <c r="Y4" s="7"/>
      <c r="Z4" s="7"/>
    </row>
    <row r="5" ht="35.25" customHeight="1">
      <c r="A5" s="23" t="s">
        <v>2</v>
      </c>
      <c r="B5" s="24" t="s">
        <v>5</v>
      </c>
      <c r="C5" s="24" t="s">
        <v>8</v>
      </c>
      <c r="D5" s="24" t="s">
        <v>9</v>
      </c>
      <c r="E5" s="24" t="s">
        <v>10</v>
      </c>
      <c r="F5" s="7"/>
      <c r="G5" s="25"/>
      <c r="H5" s="13"/>
      <c r="I5" s="13"/>
      <c r="J5" s="26"/>
      <c r="K5" s="26"/>
      <c r="L5" s="27"/>
      <c r="M5" s="7" t="s">
        <v>9</v>
      </c>
      <c r="N5" s="7"/>
      <c r="O5" s="7"/>
      <c r="P5" s="7"/>
      <c r="Q5" s="7"/>
      <c r="R5" s="7"/>
      <c r="S5" s="7"/>
      <c r="T5" s="7"/>
      <c r="U5" s="7"/>
      <c r="V5" s="7"/>
      <c r="W5" s="7"/>
      <c r="X5" s="7"/>
      <c r="Y5" s="7"/>
      <c r="Z5" s="7"/>
    </row>
    <row r="6" ht="15.0" customHeight="1">
      <c r="A6" s="28">
        <f>COUNTIF(I9:I50,"Pass")</f>
        <v>37</v>
      </c>
      <c r="B6" s="29">
        <f>COUNTIF(I9:I50,"Fail")</f>
        <v>5</v>
      </c>
      <c r="C6" s="29">
        <f>E6-D6-A6-B6</f>
        <v>0</v>
      </c>
      <c r="D6" s="30">
        <f>COUNTIF(H$9:I$50,"N/A")</f>
        <v>0</v>
      </c>
      <c r="E6" s="29">
        <f>COUNTA(A9:A50)</f>
        <v>42</v>
      </c>
      <c r="F6" s="7"/>
      <c r="G6" s="31"/>
      <c r="H6" s="31"/>
      <c r="I6" s="31"/>
      <c r="J6" s="26"/>
      <c r="K6" s="26"/>
      <c r="L6" s="27"/>
      <c r="N6" s="7"/>
      <c r="O6" s="7"/>
      <c r="P6" s="7"/>
      <c r="Q6" s="7"/>
      <c r="R6" s="7"/>
      <c r="S6" s="7"/>
      <c r="T6" s="7"/>
      <c r="U6" s="7"/>
      <c r="V6" s="7"/>
      <c r="W6" s="7"/>
      <c r="X6" s="7"/>
      <c r="Y6" s="7"/>
      <c r="Z6" s="7"/>
    </row>
    <row r="7" ht="14.25" customHeight="1">
      <c r="A7" s="7"/>
      <c r="B7" s="7"/>
      <c r="C7" s="7"/>
      <c r="D7" s="7"/>
      <c r="E7" s="7"/>
      <c r="F7" s="7"/>
      <c r="G7" s="7"/>
      <c r="H7" s="32"/>
      <c r="I7" s="32"/>
      <c r="J7" s="26"/>
      <c r="K7" s="26"/>
      <c r="L7" s="27"/>
      <c r="M7" s="7"/>
      <c r="N7" s="7"/>
      <c r="O7" s="7"/>
      <c r="P7" s="7"/>
      <c r="Q7" s="7"/>
      <c r="R7" s="7"/>
      <c r="S7" s="7"/>
      <c r="T7" s="7"/>
      <c r="U7" s="7"/>
      <c r="V7" s="7"/>
      <c r="W7" s="7"/>
      <c r="X7" s="7"/>
      <c r="Y7" s="7"/>
      <c r="Z7" s="7"/>
    </row>
    <row r="8">
      <c r="A8" s="33" t="s">
        <v>11</v>
      </c>
      <c r="B8" s="33" t="s">
        <v>12</v>
      </c>
      <c r="C8" s="33" t="s">
        <v>13</v>
      </c>
      <c r="D8" s="33" t="s">
        <v>14</v>
      </c>
      <c r="E8" s="33" t="s">
        <v>15</v>
      </c>
      <c r="F8" s="33" t="s">
        <v>16</v>
      </c>
      <c r="G8" s="33" t="s">
        <v>17</v>
      </c>
      <c r="H8" s="33" t="s">
        <v>18</v>
      </c>
      <c r="I8" s="34" t="s">
        <v>19</v>
      </c>
      <c r="J8" s="35" t="s">
        <v>20</v>
      </c>
      <c r="K8" s="33" t="s">
        <v>21</v>
      </c>
      <c r="L8" s="36"/>
      <c r="M8" s="7"/>
      <c r="N8" s="7"/>
      <c r="O8" s="7"/>
      <c r="P8" s="7"/>
      <c r="Q8" s="7"/>
      <c r="R8" s="7"/>
      <c r="S8" s="7"/>
      <c r="T8" s="7"/>
      <c r="U8" s="7"/>
      <c r="V8" s="7"/>
      <c r="W8" s="7"/>
      <c r="X8" s="7"/>
      <c r="Y8" s="7"/>
      <c r="Z8" s="7"/>
    </row>
    <row r="9">
      <c r="A9" s="37" t="str">
        <f t="shared" ref="A9:A50" si="1">$B$2&amp;"-"&amp;ROW()-8</f>
        <v>Module1 -1</v>
      </c>
      <c r="B9" s="38" t="s">
        <v>22</v>
      </c>
      <c r="C9" s="39" t="s">
        <v>23</v>
      </c>
      <c r="D9" s="39" t="s">
        <v>24</v>
      </c>
      <c r="E9" s="39" t="s">
        <v>25</v>
      </c>
      <c r="F9" s="39" t="s">
        <v>26</v>
      </c>
      <c r="G9" s="37"/>
      <c r="H9" s="40" t="s">
        <v>27</v>
      </c>
      <c r="I9" s="39" t="s">
        <v>2</v>
      </c>
      <c r="J9" s="37"/>
      <c r="K9" s="37"/>
      <c r="L9" s="6"/>
      <c r="M9" s="7"/>
      <c r="N9" s="7"/>
      <c r="O9" s="7"/>
      <c r="P9" s="7"/>
      <c r="Q9" s="7"/>
      <c r="R9" s="7"/>
      <c r="S9" s="7"/>
      <c r="T9" s="7"/>
      <c r="U9" s="7"/>
      <c r="V9" s="7"/>
      <c r="W9" s="7"/>
      <c r="X9" s="7"/>
      <c r="Y9" s="7"/>
      <c r="Z9" s="7"/>
    </row>
    <row r="10">
      <c r="A10" s="37" t="str">
        <f t="shared" si="1"/>
        <v>Module1 -2</v>
      </c>
      <c r="B10" s="41"/>
      <c r="C10" s="39"/>
      <c r="D10" s="39" t="s">
        <v>28</v>
      </c>
      <c r="E10" s="39"/>
      <c r="F10" s="39"/>
      <c r="G10" s="37"/>
      <c r="H10" s="40" t="s">
        <v>29</v>
      </c>
      <c r="I10" s="39" t="s">
        <v>2</v>
      </c>
      <c r="J10" s="37"/>
      <c r="K10" s="37"/>
      <c r="L10" s="6"/>
      <c r="M10" s="7"/>
      <c r="N10" s="7"/>
      <c r="O10" s="7"/>
      <c r="P10" s="7"/>
      <c r="Q10" s="7"/>
      <c r="R10" s="7"/>
      <c r="S10" s="7"/>
      <c r="T10" s="7"/>
      <c r="U10" s="7"/>
      <c r="V10" s="7"/>
      <c r="W10" s="7"/>
      <c r="X10" s="7"/>
      <c r="Y10" s="7"/>
      <c r="Z10" s="7"/>
    </row>
    <row r="11">
      <c r="A11" s="37" t="str">
        <f t="shared" si="1"/>
        <v>Module1 -3</v>
      </c>
      <c r="B11" s="41"/>
      <c r="C11" s="39"/>
      <c r="D11" s="39" t="s">
        <v>30</v>
      </c>
      <c r="E11" s="39"/>
      <c r="F11" s="39"/>
      <c r="G11" s="37"/>
      <c r="H11" s="40" t="s">
        <v>31</v>
      </c>
      <c r="I11" s="39" t="s">
        <v>2</v>
      </c>
      <c r="J11" s="37"/>
      <c r="K11" s="37"/>
      <c r="L11" s="6"/>
      <c r="M11" s="7"/>
      <c r="N11" s="7"/>
      <c r="O11" s="7"/>
      <c r="P11" s="7"/>
      <c r="Q11" s="7"/>
      <c r="R11" s="7"/>
      <c r="S11" s="7"/>
      <c r="T11" s="7"/>
      <c r="U11" s="7"/>
      <c r="V11" s="7"/>
      <c r="W11" s="7"/>
      <c r="X11" s="7"/>
      <c r="Y11" s="7"/>
      <c r="Z11" s="7"/>
    </row>
    <row r="12">
      <c r="A12" s="37" t="str">
        <f t="shared" si="1"/>
        <v>Module1 -4</v>
      </c>
      <c r="B12" s="42"/>
      <c r="C12" s="39"/>
      <c r="D12" s="39" t="s">
        <v>32</v>
      </c>
      <c r="E12" s="39"/>
      <c r="F12" s="39"/>
      <c r="G12" s="37"/>
      <c r="H12" s="40" t="s">
        <v>33</v>
      </c>
      <c r="I12" s="39" t="s">
        <v>2</v>
      </c>
      <c r="J12" s="37"/>
      <c r="K12" s="37"/>
      <c r="L12" s="6"/>
      <c r="M12" s="7"/>
      <c r="N12" s="7"/>
      <c r="O12" s="7"/>
      <c r="P12" s="7"/>
      <c r="Q12" s="7"/>
      <c r="R12" s="7"/>
      <c r="S12" s="7"/>
      <c r="T12" s="7"/>
      <c r="U12" s="7"/>
      <c r="V12" s="7"/>
      <c r="W12" s="7"/>
      <c r="X12" s="7"/>
      <c r="Y12" s="7"/>
      <c r="Z12" s="7"/>
    </row>
    <row r="13" ht="72.75" customHeight="1">
      <c r="A13" s="37" t="str">
        <f t="shared" si="1"/>
        <v>Module1 -5</v>
      </c>
      <c r="B13" s="38" t="s">
        <v>34</v>
      </c>
      <c r="C13" s="37"/>
      <c r="D13" s="37" t="s">
        <v>35</v>
      </c>
      <c r="E13" s="37"/>
      <c r="F13" s="37" t="s">
        <v>36</v>
      </c>
      <c r="G13" s="37"/>
      <c r="H13" s="40" t="s">
        <v>37</v>
      </c>
      <c r="I13" s="39" t="s">
        <v>2</v>
      </c>
      <c r="J13" s="37"/>
      <c r="K13" s="37"/>
      <c r="L13" s="6"/>
      <c r="M13" s="43"/>
      <c r="N13" s="43"/>
      <c r="O13" s="43"/>
      <c r="P13" s="43"/>
      <c r="Q13" s="43"/>
      <c r="R13" s="43"/>
      <c r="S13" s="43"/>
      <c r="T13" s="43"/>
      <c r="U13" s="43"/>
      <c r="V13" s="43"/>
      <c r="W13" s="43"/>
      <c r="X13" s="43"/>
      <c r="Y13" s="43"/>
      <c r="Z13" s="43"/>
    </row>
    <row r="14">
      <c r="A14" s="37" t="str">
        <f t="shared" si="1"/>
        <v>Module1 -6</v>
      </c>
      <c r="B14" s="41"/>
      <c r="C14" s="37"/>
      <c r="D14" s="37" t="s">
        <v>38</v>
      </c>
      <c r="E14" s="37"/>
      <c r="F14" s="37" t="s">
        <v>39</v>
      </c>
      <c r="G14" s="37"/>
      <c r="H14" s="37" t="s">
        <v>40</v>
      </c>
      <c r="I14" s="39" t="s">
        <v>2</v>
      </c>
      <c r="J14" s="39"/>
      <c r="K14" s="39"/>
      <c r="L14" s="6"/>
      <c r="M14" s="43"/>
      <c r="N14" s="43"/>
      <c r="O14" s="43"/>
      <c r="P14" s="43"/>
      <c r="Q14" s="43"/>
      <c r="R14" s="43"/>
      <c r="S14" s="43"/>
      <c r="T14" s="43"/>
      <c r="U14" s="43"/>
      <c r="V14" s="43"/>
      <c r="W14" s="43"/>
      <c r="X14" s="43"/>
      <c r="Y14" s="43"/>
      <c r="Z14" s="43"/>
    </row>
    <row r="15" ht="39.0" customHeight="1">
      <c r="A15" s="37" t="str">
        <f t="shared" si="1"/>
        <v>Module1 -7</v>
      </c>
      <c r="B15" s="41"/>
      <c r="C15" s="37"/>
      <c r="D15" s="37" t="s">
        <v>41</v>
      </c>
      <c r="E15" s="37"/>
      <c r="F15" s="37" t="s">
        <v>42</v>
      </c>
      <c r="G15" s="37"/>
      <c r="H15" s="39" t="s">
        <v>43</v>
      </c>
      <c r="I15" s="39" t="s">
        <v>2</v>
      </c>
      <c r="J15" s="44"/>
      <c r="K15" s="37"/>
      <c r="L15" s="6"/>
      <c r="M15" s="43"/>
      <c r="N15" s="43"/>
      <c r="O15" s="43"/>
      <c r="P15" s="43"/>
      <c r="Q15" s="43"/>
      <c r="R15" s="43"/>
      <c r="S15" s="43"/>
      <c r="T15" s="43"/>
      <c r="U15" s="43"/>
      <c r="V15" s="43"/>
      <c r="W15" s="43"/>
      <c r="X15" s="43"/>
      <c r="Y15" s="43"/>
      <c r="Z15" s="43"/>
    </row>
    <row r="16">
      <c r="A16" s="37" t="str">
        <f t="shared" si="1"/>
        <v>Module1 -8</v>
      </c>
      <c r="B16" s="41"/>
      <c r="C16" s="37"/>
      <c r="D16" s="37" t="s">
        <v>44</v>
      </c>
      <c r="E16" s="37"/>
      <c r="F16" s="37" t="s">
        <v>45</v>
      </c>
      <c r="G16" s="37"/>
      <c r="H16" s="39" t="s">
        <v>46</v>
      </c>
      <c r="I16" s="39" t="s">
        <v>2</v>
      </c>
      <c r="J16" s="37"/>
      <c r="K16" s="37"/>
      <c r="L16" s="45"/>
      <c r="M16" s="43"/>
      <c r="N16" s="43"/>
      <c r="O16" s="43"/>
      <c r="P16" s="43"/>
      <c r="Q16" s="43"/>
      <c r="R16" s="43"/>
      <c r="S16" s="43"/>
      <c r="T16" s="43"/>
      <c r="U16" s="43"/>
      <c r="V16" s="43"/>
      <c r="W16" s="43"/>
      <c r="X16" s="43"/>
      <c r="Y16" s="43"/>
      <c r="Z16" s="43"/>
    </row>
    <row r="17">
      <c r="A17" s="37" t="str">
        <f t="shared" si="1"/>
        <v>Module1 -9</v>
      </c>
      <c r="B17" s="41"/>
      <c r="C17" s="37"/>
      <c r="D17" s="46" t="s">
        <v>47</v>
      </c>
      <c r="E17" s="37"/>
      <c r="F17" s="39" t="s">
        <v>48</v>
      </c>
      <c r="G17" s="37"/>
      <c r="H17" s="39" t="s">
        <v>49</v>
      </c>
      <c r="I17" s="39" t="s">
        <v>2</v>
      </c>
      <c r="J17" s="37"/>
      <c r="K17" s="37"/>
      <c r="L17" s="45"/>
      <c r="M17" s="43"/>
      <c r="N17" s="43"/>
      <c r="O17" s="43"/>
      <c r="P17" s="43"/>
      <c r="Q17" s="43"/>
      <c r="R17" s="43"/>
      <c r="S17" s="43"/>
      <c r="T17" s="43"/>
      <c r="U17" s="43"/>
      <c r="V17" s="43"/>
      <c r="W17" s="43"/>
      <c r="X17" s="43"/>
      <c r="Y17" s="43"/>
      <c r="Z17" s="43"/>
    </row>
    <row r="18">
      <c r="A18" s="37" t="str">
        <f t="shared" si="1"/>
        <v>Module1 -10</v>
      </c>
      <c r="B18" s="41"/>
      <c r="C18" s="37"/>
      <c r="D18" s="46" t="s">
        <v>50</v>
      </c>
      <c r="E18" s="37"/>
      <c r="F18" s="39"/>
      <c r="G18" s="37"/>
      <c r="H18" s="39" t="s">
        <v>51</v>
      </c>
      <c r="I18" s="39" t="s">
        <v>2</v>
      </c>
      <c r="J18" s="37"/>
      <c r="K18" s="37"/>
      <c r="L18" s="45"/>
      <c r="M18" s="43"/>
      <c r="N18" s="43"/>
      <c r="O18" s="43"/>
      <c r="P18" s="43"/>
      <c r="Q18" s="43"/>
      <c r="R18" s="43"/>
      <c r="S18" s="43"/>
      <c r="T18" s="43"/>
      <c r="U18" s="43"/>
      <c r="V18" s="43"/>
      <c r="W18" s="43"/>
      <c r="X18" s="43"/>
      <c r="Y18" s="43"/>
      <c r="Z18" s="43"/>
    </row>
    <row r="19">
      <c r="A19" s="37" t="str">
        <f t="shared" si="1"/>
        <v>Module1 -11</v>
      </c>
      <c r="B19" s="41"/>
      <c r="C19" s="37"/>
      <c r="D19" s="46" t="s">
        <v>52</v>
      </c>
      <c r="E19" s="37"/>
      <c r="F19" s="39"/>
      <c r="G19" s="37"/>
      <c r="H19" s="39" t="s">
        <v>51</v>
      </c>
      <c r="I19" s="39" t="s">
        <v>2</v>
      </c>
      <c r="J19" s="37"/>
      <c r="K19" s="37"/>
      <c r="L19" s="45"/>
      <c r="M19" s="43"/>
      <c r="N19" s="43"/>
      <c r="O19" s="43"/>
      <c r="P19" s="43"/>
      <c r="Q19" s="43"/>
      <c r="R19" s="43"/>
      <c r="S19" s="43"/>
      <c r="T19" s="43"/>
      <c r="U19" s="43"/>
      <c r="V19" s="43"/>
      <c r="W19" s="43"/>
      <c r="X19" s="43"/>
      <c r="Y19" s="43"/>
      <c r="Z19" s="43"/>
    </row>
    <row r="20">
      <c r="A20" s="37" t="str">
        <f t="shared" si="1"/>
        <v>Module1 -12</v>
      </c>
      <c r="B20" s="42"/>
      <c r="C20" s="37"/>
      <c r="D20" s="46" t="s">
        <v>53</v>
      </c>
      <c r="E20" s="39" t="s">
        <v>54</v>
      </c>
      <c r="F20" s="39" t="s">
        <v>55</v>
      </c>
      <c r="G20" s="37"/>
      <c r="H20" s="39" t="s">
        <v>56</v>
      </c>
      <c r="I20" s="39" t="s">
        <v>2</v>
      </c>
      <c r="J20" s="37"/>
      <c r="K20" s="37"/>
      <c r="L20" s="45"/>
      <c r="M20" s="43"/>
      <c r="N20" s="43"/>
      <c r="O20" s="43"/>
      <c r="P20" s="43"/>
      <c r="Q20" s="43"/>
      <c r="R20" s="43"/>
      <c r="S20" s="43"/>
      <c r="T20" s="43"/>
      <c r="U20" s="43"/>
      <c r="V20" s="43"/>
      <c r="W20" s="43"/>
      <c r="X20" s="43"/>
      <c r="Y20" s="43"/>
      <c r="Z20" s="43"/>
    </row>
    <row r="21">
      <c r="A21" s="37" t="str">
        <f t="shared" si="1"/>
        <v>Module1 -13</v>
      </c>
      <c r="B21" s="38" t="s">
        <v>57</v>
      </c>
      <c r="C21" s="47" t="s">
        <v>58</v>
      </c>
      <c r="D21" s="39" t="s">
        <v>59</v>
      </c>
      <c r="E21" s="39" t="s">
        <v>54</v>
      </c>
      <c r="F21" s="48" t="s">
        <v>60</v>
      </c>
      <c r="G21" s="39"/>
      <c r="H21" s="48" t="s">
        <v>61</v>
      </c>
      <c r="I21" s="39" t="s">
        <v>2</v>
      </c>
      <c r="J21" s="37"/>
      <c r="K21" s="37"/>
      <c r="L21" s="45"/>
      <c r="M21" s="43"/>
      <c r="N21" s="43"/>
      <c r="O21" s="43"/>
      <c r="P21" s="43"/>
      <c r="Q21" s="43"/>
      <c r="R21" s="43"/>
      <c r="S21" s="43"/>
      <c r="T21" s="43"/>
      <c r="U21" s="43"/>
      <c r="V21" s="43"/>
      <c r="W21" s="43"/>
      <c r="X21" s="43"/>
      <c r="Y21" s="43"/>
      <c r="Z21" s="43"/>
    </row>
    <row r="22">
      <c r="A22" s="37" t="str">
        <f t="shared" si="1"/>
        <v>Module1 -14</v>
      </c>
      <c r="B22" s="41"/>
      <c r="C22" s="41"/>
      <c r="D22" s="39" t="s">
        <v>62</v>
      </c>
      <c r="E22" s="39" t="s">
        <v>54</v>
      </c>
      <c r="F22" s="48" t="s">
        <v>63</v>
      </c>
      <c r="G22" s="39"/>
      <c r="H22" s="48" t="s">
        <v>61</v>
      </c>
      <c r="I22" s="39" t="s">
        <v>2</v>
      </c>
      <c r="J22" s="39"/>
      <c r="K22" s="39"/>
      <c r="L22" s="45"/>
      <c r="M22" s="43"/>
      <c r="N22" s="43"/>
      <c r="O22" s="43"/>
      <c r="P22" s="43"/>
      <c r="Q22" s="43"/>
      <c r="R22" s="43"/>
      <c r="S22" s="43"/>
      <c r="T22" s="43"/>
      <c r="U22" s="43"/>
      <c r="V22" s="43"/>
      <c r="W22" s="43"/>
      <c r="X22" s="43"/>
      <c r="Y22" s="43"/>
      <c r="Z22" s="43"/>
    </row>
    <row r="23">
      <c r="A23" s="37" t="str">
        <f t="shared" si="1"/>
        <v>Module1 -15</v>
      </c>
      <c r="B23" s="41"/>
      <c r="C23" s="41"/>
      <c r="D23" s="39" t="s">
        <v>64</v>
      </c>
      <c r="E23" s="39" t="s">
        <v>54</v>
      </c>
      <c r="F23" s="48" t="s">
        <v>65</v>
      </c>
      <c r="G23" s="39"/>
      <c r="H23" s="40" t="s">
        <v>66</v>
      </c>
      <c r="I23" s="39" t="s">
        <v>2</v>
      </c>
      <c r="J23" s="39"/>
      <c r="K23" s="39"/>
      <c r="L23" s="45"/>
      <c r="M23" s="43"/>
      <c r="N23" s="43"/>
      <c r="O23" s="43"/>
      <c r="P23" s="43"/>
      <c r="Q23" s="43"/>
      <c r="R23" s="43"/>
      <c r="S23" s="43"/>
      <c r="T23" s="43"/>
      <c r="U23" s="43"/>
      <c r="V23" s="43"/>
      <c r="W23" s="43"/>
      <c r="X23" s="43"/>
      <c r="Y23" s="43"/>
      <c r="Z23" s="43"/>
    </row>
    <row r="24" ht="51.75" customHeight="1">
      <c r="A24" s="37" t="str">
        <f t="shared" si="1"/>
        <v>Module1 -16</v>
      </c>
      <c r="B24" s="41"/>
      <c r="C24" s="41"/>
      <c r="D24" s="39" t="s">
        <v>67</v>
      </c>
      <c r="E24" s="39" t="s">
        <v>54</v>
      </c>
      <c r="F24" s="48" t="s">
        <v>68</v>
      </c>
      <c r="G24" s="37"/>
      <c r="H24" s="39" t="s">
        <v>69</v>
      </c>
      <c r="I24" s="39" t="s">
        <v>5</v>
      </c>
      <c r="J24" s="49"/>
      <c r="K24" s="39" t="s">
        <v>70</v>
      </c>
      <c r="L24" s="50"/>
      <c r="M24" s="43"/>
      <c r="N24" s="43"/>
      <c r="O24" s="43"/>
      <c r="P24" s="43"/>
      <c r="Q24" s="43"/>
      <c r="R24" s="43"/>
      <c r="S24" s="43"/>
      <c r="T24" s="43"/>
      <c r="U24" s="43"/>
      <c r="V24" s="43"/>
      <c r="W24" s="43"/>
      <c r="X24" s="43"/>
      <c r="Y24" s="43"/>
      <c r="Z24" s="43"/>
    </row>
    <row r="25">
      <c r="A25" s="37" t="str">
        <f t="shared" si="1"/>
        <v>Module1 -17</v>
      </c>
      <c r="B25" s="41"/>
      <c r="C25" s="41"/>
      <c r="D25" s="39" t="s">
        <v>71</v>
      </c>
      <c r="E25" s="39" t="s">
        <v>54</v>
      </c>
      <c r="F25" s="48" t="s">
        <v>72</v>
      </c>
      <c r="G25" s="37"/>
      <c r="H25" s="39" t="s">
        <v>69</v>
      </c>
      <c r="I25" s="39" t="s">
        <v>5</v>
      </c>
      <c r="J25" s="44"/>
      <c r="K25" s="39" t="s">
        <v>70</v>
      </c>
      <c r="L25" s="50"/>
      <c r="M25" s="43"/>
      <c r="N25" s="43"/>
      <c r="O25" s="43"/>
      <c r="P25" s="43"/>
      <c r="Q25" s="43"/>
      <c r="R25" s="43"/>
      <c r="S25" s="43"/>
      <c r="T25" s="43"/>
      <c r="U25" s="43"/>
      <c r="V25" s="43"/>
      <c r="W25" s="43"/>
      <c r="X25" s="43"/>
      <c r="Y25" s="43"/>
      <c r="Z25" s="43"/>
    </row>
    <row r="26">
      <c r="A26" s="37" t="str">
        <f t="shared" si="1"/>
        <v>Module1 -18</v>
      </c>
      <c r="B26" s="41"/>
      <c r="C26" s="41"/>
      <c r="D26" s="39" t="s">
        <v>73</v>
      </c>
      <c r="E26" s="39" t="s">
        <v>54</v>
      </c>
      <c r="F26" s="48" t="s">
        <v>74</v>
      </c>
      <c r="G26" s="37"/>
      <c r="H26" s="39" t="s">
        <v>75</v>
      </c>
      <c r="I26" s="39" t="s">
        <v>2</v>
      </c>
      <c r="J26" s="44"/>
      <c r="K26" s="37"/>
      <c r="L26" s="50"/>
      <c r="M26" s="43"/>
      <c r="N26" s="43"/>
      <c r="O26" s="43"/>
      <c r="P26" s="43"/>
      <c r="Q26" s="43"/>
      <c r="R26" s="43"/>
      <c r="S26" s="43"/>
      <c r="T26" s="43"/>
      <c r="U26" s="43"/>
      <c r="V26" s="43"/>
      <c r="W26" s="43"/>
      <c r="X26" s="43"/>
      <c r="Y26" s="43"/>
      <c r="Z26" s="43"/>
    </row>
    <row r="27">
      <c r="A27" s="37" t="str">
        <f t="shared" si="1"/>
        <v>Module1 -19</v>
      </c>
      <c r="B27" s="41"/>
      <c r="C27" s="41"/>
      <c r="D27" s="39" t="s">
        <v>76</v>
      </c>
      <c r="E27" s="39" t="s">
        <v>77</v>
      </c>
      <c r="F27" s="48" t="s">
        <v>78</v>
      </c>
      <c r="G27" s="37"/>
      <c r="H27" s="39" t="s">
        <v>79</v>
      </c>
      <c r="I27" s="39" t="s">
        <v>2</v>
      </c>
      <c r="J27" s="44"/>
      <c r="K27" s="37"/>
      <c r="L27" s="50"/>
      <c r="M27" s="43"/>
      <c r="N27" s="43"/>
      <c r="O27" s="43"/>
      <c r="P27" s="43"/>
      <c r="Q27" s="43"/>
      <c r="R27" s="43"/>
      <c r="S27" s="43"/>
      <c r="T27" s="43"/>
      <c r="U27" s="43"/>
      <c r="V27" s="43"/>
      <c r="W27" s="43"/>
      <c r="X27" s="43"/>
      <c r="Y27" s="43"/>
      <c r="Z27" s="43"/>
    </row>
    <row r="28">
      <c r="A28" s="37" t="str">
        <f t="shared" si="1"/>
        <v>Module1 -20</v>
      </c>
      <c r="B28" s="41"/>
      <c r="C28" s="41"/>
      <c r="D28" s="39" t="s">
        <v>80</v>
      </c>
      <c r="E28" s="39"/>
      <c r="F28" s="48"/>
      <c r="G28" s="37"/>
      <c r="H28" s="48" t="s">
        <v>81</v>
      </c>
      <c r="I28" s="39" t="s">
        <v>2</v>
      </c>
      <c r="J28" s="44"/>
      <c r="K28" s="37"/>
      <c r="L28" s="50"/>
      <c r="M28" s="43"/>
      <c r="N28" s="43"/>
      <c r="O28" s="43"/>
      <c r="P28" s="43"/>
      <c r="Q28" s="43"/>
      <c r="R28" s="43"/>
      <c r="S28" s="43"/>
      <c r="T28" s="43"/>
      <c r="U28" s="43"/>
      <c r="V28" s="43"/>
      <c r="W28" s="43"/>
      <c r="X28" s="43"/>
      <c r="Y28" s="43"/>
      <c r="Z28" s="43"/>
    </row>
    <row r="29">
      <c r="A29" s="37" t="str">
        <f t="shared" si="1"/>
        <v>Module1 -21</v>
      </c>
      <c r="B29" s="41"/>
      <c r="C29" s="42"/>
      <c r="D29" s="39" t="s">
        <v>82</v>
      </c>
      <c r="E29" s="39"/>
      <c r="F29" s="48"/>
      <c r="G29" s="37"/>
      <c r="H29" s="48" t="s">
        <v>83</v>
      </c>
      <c r="I29" s="39" t="s">
        <v>2</v>
      </c>
      <c r="J29" s="44"/>
      <c r="K29" s="37"/>
      <c r="L29" s="50"/>
      <c r="M29" s="43"/>
      <c r="N29" s="43"/>
      <c r="O29" s="43"/>
      <c r="P29" s="43"/>
      <c r="Q29" s="43"/>
      <c r="R29" s="43"/>
      <c r="S29" s="43"/>
      <c r="T29" s="43"/>
      <c r="U29" s="43"/>
      <c r="V29" s="43"/>
      <c r="W29" s="43"/>
      <c r="X29" s="43"/>
      <c r="Y29" s="43"/>
      <c r="Z29" s="43"/>
    </row>
    <row r="30">
      <c r="A30" s="37" t="str">
        <f t="shared" si="1"/>
        <v>Module1 -22</v>
      </c>
      <c r="B30" s="41"/>
      <c r="C30" s="51" t="s">
        <v>84</v>
      </c>
      <c r="D30" s="39" t="s">
        <v>85</v>
      </c>
      <c r="E30" s="39" t="s">
        <v>54</v>
      </c>
      <c r="F30" s="48" t="s">
        <v>86</v>
      </c>
      <c r="G30" s="37"/>
      <c r="H30" s="39" t="s">
        <v>87</v>
      </c>
      <c r="I30" s="39" t="s">
        <v>2</v>
      </c>
      <c r="J30" s="44"/>
      <c r="K30" s="37"/>
      <c r="L30" s="50"/>
      <c r="M30" s="43"/>
      <c r="N30" s="43"/>
      <c r="O30" s="43"/>
      <c r="P30" s="43"/>
      <c r="Q30" s="43"/>
      <c r="R30" s="43"/>
      <c r="S30" s="43"/>
      <c r="T30" s="43"/>
      <c r="U30" s="43"/>
      <c r="V30" s="43"/>
      <c r="W30" s="43"/>
      <c r="X30" s="43"/>
      <c r="Y30" s="43"/>
      <c r="Z30" s="43"/>
    </row>
    <row r="31">
      <c r="A31" s="37" t="str">
        <f t="shared" si="1"/>
        <v>Module1 -23</v>
      </c>
      <c r="B31" s="41"/>
      <c r="C31" s="41"/>
      <c r="D31" s="39" t="s">
        <v>88</v>
      </c>
      <c r="E31" s="39" t="s">
        <v>54</v>
      </c>
      <c r="F31" s="48" t="s">
        <v>89</v>
      </c>
      <c r="G31" s="37"/>
      <c r="H31" s="39" t="s">
        <v>87</v>
      </c>
      <c r="I31" s="39" t="s">
        <v>2</v>
      </c>
      <c r="J31" s="44"/>
      <c r="K31" s="37"/>
      <c r="L31" s="50"/>
      <c r="M31" s="43"/>
      <c r="N31" s="43"/>
      <c r="O31" s="43"/>
      <c r="P31" s="43"/>
      <c r="Q31" s="43"/>
      <c r="R31" s="43"/>
      <c r="S31" s="43"/>
      <c r="T31" s="43"/>
      <c r="U31" s="43"/>
      <c r="V31" s="43"/>
      <c r="W31" s="43"/>
      <c r="X31" s="43"/>
      <c r="Y31" s="43"/>
      <c r="Z31" s="43"/>
    </row>
    <row r="32">
      <c r="A32" s="37" t="str">
        <f t="shared" si="1"/>
        <v>Module1 -24</v>
      </c>
      <c r="B32" s="41"/>
      <c r="C32" s="41"/>
      <c r="D32" s="39" t="s">
        <v>90</v>
      </c>
      <c r="E32" s="39" t="s">
        <v>54</v>
      </c>
      <c r="F32" s="48" t="s">
        <v>91</v>
      </c>
      <c r="G32" s="37"/>
      <c r="H32" s="39" t="s">
        <v>92</v>
      </c>
      <c r="I32" s="39" t="s">
        <v>2</v>
      </c>
      <c r="J32" s="44"/>
      <c r="K32" s="37"/>
      <c r="L32" s="50"/>
      <c r="M32" s="43"/>
      <c r="N32" s="43"/>
      <c r="O32" s="43"/>
      <c r="P32" s="43"/>
      <c r="Q32" s="43"/>
      <c r="R32" s="43"/>
      <c r="S32" s="43"/>
      <c r="T32" s="43"/>
      <c r="U32" s="43"/>
      <c r="V32" s="43"/>
      <c r="W32" s="43"/>
      <c r="X32" s="43"/>
      <c r="Y32" s="43"/>
      <c r="Z32" s="43"/>
    </row>
    <row r="33">
      <c r="A33" s="37" t="str">
        <f t="shared" si="1"/>
        <v>Module1 -25</v>
      </c>
      <c r="B33" s="41"/>
      <c r="C33" s="42"/>
      <c r="D33" s="39" t="s">
        <v>93</v>
      </c>
      <c r="E33" s="39" t="s">
        <v>54</v>
      </c>
      <c r="F33" s="48" t="s">
        <v>94</v>
      </c>
      <c r="G33" s="37"/>
      <c r="H33" s="39" t="s">
        <v>95</v>
      </c>
      <c r="I33" s="39" t="s">
        <v>2</v>
      </c>
      <c r="J33" s="44"/>
      <c r="K33" s="37"/>
      <c r="L33" s="50"/>
      <c r="M33" s="43"/>
      <c r="N33" s="43"/>
      <c r="O33" s="43"/>
      <c r="P33" s="43"/>
      <c r="Q33" s="43"/>
      <c r="R33" s="43"/>
      <c r="S33" s="43"/>
      <c r="T33" s="43"/>
      <c r="U33" s="43"/>
      <c r="V33" s="43"/>
      <c r="W33" s="43"/>
      <c r="X33" s="43"/>
      <c r="Y33" s="43"/>
      <c r="Z33" s="43"/>
    </row>
    <row r="34">
      <c r="A34" s="37" t="str">
        <f t="shared" si="1"/>
        <v>Module1 -26</v>
      </c>
      <c r="B34" s="41"/>
      <c r="C34" s="51" t="s">
        <v>96</v>
      </c>
      <c r="D34" s="52" t="s">
        <v>97</v>
      </c>
      <c r="E34" s="39" t="s">
        <v>54</v>
      </c>
      <c r="F34" s="52" t="s">
        <v>98</v>
      </c>
      <c r="G34" s="37"/>
      <c r="H34" s="48" t="s">
        <v>99</v>
      </c>
      <c r="I34" s="39" t="s">
        <v>2</v>
      </c>
      <c r="J34" s="44"/>
      <c r="K34" s="37"/>
      <c r="L34" s="50"/>
      <c r="M34" s="43"/>
      <c r="N34" s="43"/>
      <c r="O34" s="43"/>
      <c r="P34" s="43"/>
      <c r="Q34" s="43"/>
      <c r="R34" s="43"/>
      <c r="S34" s="43"/>
      <c r="T34" s="43"/>
      <c r="U34" s="43"/>
      <c r="V34" s="43"/>
      <c r="W34" s="43"/>
      <c r="X34" s="43"/>
      <c r="Y34" s="43"/>
      <c r="Z34" s="43"/>
    </row>
    <row r="35">
      <c r="A35" s="37" t="str">
        <f t="shared" si="1"/>
        <v>Module1 -27</v>
      </c>
      <c r="B35" s="41"/>
      <c r="C35" s="41"/>
      <c r="D35" s="52" t="s">
        <v>100</v>
      </c>
      <c r="E35" s="39" t="s">
        <v>54</v>
      </c>
      <c r="F35" s="52" t="s">
        <v>101</v>
      </c>
      <c r="G35" s="37"/>
      <c r="H35" s="48" t="s">
        <v>102</v>
      </c>
      <c r="I35" s="39" t="s">
        <v>2</v>
      </c>
      <c r="J35" s="44"/>
      <c r="K35" s="37"/>
      <c r="L35" s="50"/>
      <c r="M35" s="43"/>
      <c r="N35" s="43"/>
      <c r="O35" s="43"/>
      <c r="P35" s="43"/>
      <c r="Q35" s="43"/>
      <c r="R35" s="43"/>
      <c r="S35" s="43"/>
      <c r="T35" s="43"/>
      <c r="U35" s="43"/>
      <c r="V35" s="43"/>
      <c r="W35" s="43"/>
      <c r="X35" s="43"/>
      <c r="Y35" s="43"/>
      <c r="Z35" s="43"/>
    </row>
    <row r="36">
      <c r="A36" s="37" t="str">
        <f t="shared" si="1"/>
        <v>Module1 -28</v>
      </c>
      <c r="B36" s="41"/>
      <c r="C36" s="41"/>
      <c r="D36" s="39" t="s">
        <v>103</v>
      </c>
      <c r="E36" s="39" t="s">
        <v>54</v>
      </c>
      <c r="F36" s="39" t="s">
        <v>104</v>
      </c>
      <c r="G36" s="37"/>
      <c r="H36" s="48" t="s">
        <v>105</v>
      </c>
      <c r="I36" s="39" t="s">
        <v>2</v>
      </c>
      <c r="J36" s="44"/>
      <c r="K36" s="37"/>
      <c r="L36" s="50"/>
      <c r="M36" s="43"/>
      <c r="N36" s="43"/>
      <c r="O36" s="43"/>
      <c r="P36" s="43"/>
      <c r="Q36" s="43"/>
      <c r="R36" s="43"/>
      <c r="S36" s="43"/>
      <c r="T36" s="43"/>
      <c r="U36" s="43"/>
      <c r="V36" s="43"/>
      <c r="W36" s="43"/>
      <c r="X36" s="43"/>
      <c r="Y36" s="43"/>
      <c r="Z36" s="43"/>
    </row>
    <row r="37">
      <c r="A37" s="37" t="str">
        <f t="shared" si="1"/>
        <v>Module1 -29</v>
      </c>
      <c r="B37" s="41"/>
      <c r="C37" s="41"/>
      <c r="D37" s="39" t="s">
        <v>106</v>
      </c>
      <c r="E37" s="39" t="s">
        <v>54</v>
      </c>
      <c r="F37" s="39" t="s">
        <v>107</v>
      </c>
      <c r="G37" s="37"/>
      <c r="H37" s="48" t="s">
        <v>108</v>
      </c>
      <c r="I37" s="39" t="s">
        <v>2</v>
      </c>
      <c r="J37" s="44"/>
      <c r="K37" s="37"/>
      <c r="L37" s="50"/>
      <c r="M37" s="43"/>
      <c r="N37" s="43"/>
      <c r="O37" s="43"/>
      <c r="P37" s="43"/>
      <c r="Q37" s="43"/>
      <c r="R37" s="43"/>
      <c r="S37" s="43"/>
      <c r="T37" s="43"/>
      <c r="U37" s="43"/>
      <c r="V37" s="43"/>
      <c r="W37" s="43"/>
      <c r="X37" s="43"/>
      <c r="Y37" s="43"/>
      <c r="Z37" s="43"/>
    </row>
    <row r="38">
      <c r="A38" s="37" t="str">
        <f t="shared" si="1"/>
        <v>Module1 -30</v>
      </c>
      <c r="B38" s="41"/>
      <c r="C38" s="41"/>
      <c r="D38" s="39" t="s">
        <v>109</v>
      </c>
      <c r="E38" s="39" t="s">
        <v>54</v>
      </c>
      <c r="F38" s="39" t="s">
        <v>107</v>
      </c>
      <c r="G38" s="37"/>
      <c r="H38" s="48" t="s">
        <v>108</v>
      </c>
      <c r="I38" s="39" t="s">
        <v>2</v>
      </c>
      <c r="J38" s="44"/>
      <c r="K38" s="37"/>
      <c r="L38" s="50"/>
      <c r="M38" s="43"/>
      <c r="N38" s="43"/>
      <c r="O38" s="43"/>
      <c r="P38" s="43"/>
      <c r="Q38" s="43"/>
      <c r="R38" s="43"/>
      <c r="S38" s="43"/>
      <c r="T38" s="43"/>
      <c r="U38" s="43"/>
      <c r="V38" s="43"/>
      <c r="W38" s="43"/>
      <c r="X38" s="43"/>
      <c r="Y38" s="43"/>
      <c r="Z38" s="43"/>
    </row>
    <row r="39">
      <c r="A39" s="37" t="str">
        <f t="shared" si="1"/>
        <v>Module1 -31</v>
      </c>
      <c r="B39" s="41"/>
      <c r="C39" s="51" t="s">
        <v>110</v>
      </c>
      <c r="D39" s="53" t="s">
        <v>111</v>
      </c>
      <c r="E39" s="39" t="s">
        <v>54</v>
      </c>
      <c r="F39" s="54" t="s">
        <v>112</v>
      </c>
      <c r="G39" s="37"/>
      <c r="H39" s="52" t="s">
        <v>113</v>
      </c>
      <c r="I39" s="39" t="s">
        <v>2</v>
      </c>
      <c r="J39" s="44"/>
      <c r="K39" s="37"/>
      <c r="L39" s="50"/>
      <c r="M39" s="43"/>
      <c r="N39" s="43"/>
      <c r="O39" s="43"/>
      <c r="P39" s="43"/>
      <c r="Q39" s="43"/>
      <c r="R39" s="43"/>
      <c r="S39" s="43"/>
      <c r="T39" s="43"/>
      <c r="U39" s="43"/>
      <c r="V39" s="43"/>
      <c r="W39" s="43"/>
      <c r="X39" s="43"/>
      <c r="Y39" s="43"/>
      <c r="Z39" s="43"/>
    </row>
    <row r="40">
      <c r="A40" s="37" t="str">
        <f t="shared" si="1"/>
        <v>Module1 -32</v>
      </c>
      <c r="B40" s="41"/>
      <c r="C40" s="41"/>
      <c r="D40" s="53" t="s">
        <v>114</v>
      </c>
      <c r="E40" s="39" t="s">
        <v>54</v>
      </c>
      <c r="F40" s="54" t="s">
        <v>115</v>
      </c>
      <c r="G40" s="37"/>
      <c r="H40" s="52" t="s">
        <v>116</v>
      </c>
      <c r="I40" s="39" t="s">
        <v>2</v>
      </c>
      <c r="J40" s="44"/>
      <c r="K40" s="37"/>
      <c r="L40" s="50"/>
      <c r="M40" s="43"/>
      <c r="N40" s="43"/>
      <c r="O40" s="43"/>
      <c r="P40" s="43"/>
      <c r="Q40" s="43"/>
      <c r="R40" s="43"/>
      <c r="S40" s="43"/>
      <c r="T40" s="43"/>
      <c r="U40" s="43"/>
      <c r="V40" s="43"/>
      <c r="W40" s="43"/>
      <c r="X40" s="43"/>
      <c r="Y40" s="43"/>
      <c r="Z40" s="43"/>
    </row>
    <row r="41">
      <c r="A41" s="37" t="str">
        <f t="shared" si="1"/>
        <v>Module1 -33</v>
      </c>
      <c r="B41" s="41"/>
      <c r="C41" s="42"/>
      <c r="D41" s="53" t="s">
        <v>117</v>
      </c>
      <c r="E41" s="39" t="s">
        <v>54</v>
      </c>
      <c r="F41" s="54" t="s">
        <v>118</v>
      </c>
      <c r="G41" s="37"/>
      <c r="H41" s="52" t="s">
        <v>119</v>
      </c>
      <c r="I41" s="39" t="s">
        <v>2</v>
      </c>
      <c r="J41" s="44"/>
      <c r="K41" s="37"/>
      <c r="L41" s="50"/>
      <c r="M41" s="43"/>
      <c r="N41" s="43"/>
      <c r="O41" s="43"/>
      <c r="P41" s="43"/>
      <c r="Q41" s="43"/>
      <c r="R41" s="43"/>
      <c r="S41" s="43"/>
      <c r="T41" s="43"/>
      <c r="U41" s="43"/>
      <c r="V41" s="43"/>
      <c r="W41" s="43"/>
      <c r="X41" s="43"/>
      <c r="Y41" s="43"/>
      <c r="Z41" s="43"/>
    </row>
    <row r="42">
      <c r="A42" s="37" t="str">
        <f t="shared" si="1"/>
        <v>Module1 -34</v>
      </c>
      <c r="B42" s="47" t="s">
        <v>120</v>
      </c>
      <c r="C42" s="55" t="s">
        <v>121</v>
      </c>
      <c r="D42" s="39" t="s">
        <v>122</v>
      </c>
      <c r="E42" s="39" t="s">
        <v>54</v>
      </c>
      <c r="F42" s="48" t="s">
        <v>123</v>
      </c>
      <c r="G42" s="37"/>
      <c r="H42" s="39" t="s">
        <v>124</v>
      </c>
      <c r="I42" s="39" t="s">
        <v>2</v>
      </c>
      <c r="J42" s="44"/>
      <c r="K42" s="37"/>
      <c r="L42" s="50"/>
      <c r="M42" s="43"/>
      <c r="N42" s="43"/>
      <c r="O42" s="43"/>
      <c r="P42" s="43"/>
      <c r="Q42" s="43"/>
      <c r="R42" s="43"/>
      <c r="S42" s="43"/>
      <c r="T42" s="43"/>
      <c r="U42" s="43"/>
      <c r="V42" s="43"/>
      <c r="W42" s="43"/>
      <c r="X42" s="43"/>
      <c r="Y42" s="43"/>
      <c r="Z42" s="43"/>
    </row>
    <row r="43">
      <c r="A43" s="37" t="str">
        <f t="shared" si="1"/>
        <v>Module1 -35</v>
      </c>
      <c r="B43" s="41"/>
      <c r="C43" s="56" t="s">
        <v>125</v>
      </c>
      <c r="D43" s="39" t="s">
        <v>126</v>
      </c>
      <c r="E43" s="39" t="s">
        <v>54</v>
      </c>
      <c r="F43" s="57" t="s">
        <v>127</v>
      </c>
      <c r="G43" s="37"/>
      <c r="H43" s="39" t="s">
        <v>128</v>
      </c>
      <c r="I43" s="39" t="s">
        <v>2</v>
      </c>
      <c r="J43" s="44"/>
      <c r="K43" s="37"/>
      <c r="L43" s="50"/>
      <c r="M43" s="43"/>
      <c r="N43" s="43"/>
      <c r="O43" s="43"/>
      <c r="P43" s="43"/>
      <c r="Q43" s="43"/>
      <c r="R43" s="43"/>
      <c r="S43" s="43"/>
      <c r="T43" s="43"/>
      <c r="U43" s="43"/>
      <c r="V43" s="43"/>
      <c r="W43" s="43"/>
      <c r="X43" s="43"/>
      <c r="Y43" s="43"/>
      <c r="Z43" s="43"/>
    </row>
    <row r="44">
      <c r="A44" s="37" t="str">
        <f t="shared" si="1"/>
        <v>Module1 -36</v>
      </c>
      <c r="B44" s="41"/>
      <c r="C44" s="42"/>
      <c r="D44" s="39" t="s">
        <v>129</v>
      </c>
      <c r="E44" s="39" t="s">
        <v>54</v>
      </c>
      <c r="F44" s="48" t="s">
        <v>130</v>
      </c>
      <c r="G44" s="37"/>
      <c r="H44" s="39" t="s">
        <v>131</v>
      </c>
      <c r="I44" s="39" t="s">
        <v>2</v>
      </c>
      <c r="J44" s="44"/>
      <c r="K44" s="37"/>
      <c r="L44" s="50"/>
      <c r="M44" s="43"/>
      <c r="N44" s="43"/>
      <c r="O44" s="43"/>
      <c r="P44" s="43"/>
      <c r="Q44" s="43"/>
      <c r="R44" s="43"/>
      <c r="S44" s="43"/>
      <c r="T44" s="43"/>
      <c r="U44" s="43"/>
      <c r="V44" s="43"/>
      <c r="W44" s="43"/>
      <c r="X44" s="43"/>
      <c r="Y44" s="43"/>
      <c r="Z44" s="43"/>
    </row>
    <row r="45">
      <c r="A45" s="37" t="str">
        <f t="shared" si="1"/>
        <v>Module1 -37</v>
      </c>
      <c r="B45" s="41"/>
      <c r="C45" s="56" t="s">
        <v>132</v>
      </c>
      <c r="D45" s="39" t="s">
        <v>133</v>
      </c>
      <c r="E45" s="39" t="s">
        <v>134</v>
      </c>
      <c r="F45" s="48" t="s">
        <v>135</v>
      </c>
      <c r="G45" s="37"/>
      <c r="H45" s="39" t="s">
        <v>136</v>
      </c>
      <c r="I45" s="39" t="s">
        <v>5</v>
      </c>
      <c r="J45" s="44"/>
      <c r="K45" s="39" t="s">
        <v>137</v>
      </c>
      <c r="L45" s="50"/>
      <c r="M45" s="43"/>
      <c r="N45" s="43"/>
      <c r="O45" s="43"/>
      <c r="P45" s="43"/>
      <c r="Q45" s="43"/>
      <c r="R45" s="43"/>
      <c r="S45" s="43"/>
      <c r="T45" s="43"/>
      <c r="U45" s="43"/>
      <c r="V45" s="43"/>
      <c r="W45" s="43"/>
      <c r="X45" s="43"/>
      <c r="Y45" s="43"/>
      <c r="Z45" s="43"/>
    </row>
    <row r="46">
      <c r="A46" s="37" t="str">
        <f t="shared" si="1"/>
        <v>Module1 -38</v>
      </c>
      <c r="B46" s="41"/>
      <c r="C46" s="41"/>
      <c r="D46" s="39" t="s">
        <v>138</v>
      </c>
      <c r="E46" s="39" t="s">
        <v>54</v>
      </c>
      <c r="F46" s="48" t="s">
        <v>139</v>
      </c>
      <c r="G46" s="37"/>
      <c r="H46" s="39" t="s">
        <v>140</v>
      </c>
      <c r="I46" s="39" t="s">
        <v>2</v>
      </c>
      <c r="J46" s="44"/>
      <c r="K46" s="37"/>
      <c r="L46" s="50"/>
      <c r="M46" s="43"/>
      <c r="N46" s="43"/>
      <c r="O46" s="43"/>
      <c r="P46" s="43"/>
      <c r="Q46" s="43"/>
      <c r="R46" s="43"/>
      <c r="S46" s="43"/>
      <c r="T46" s="43"/>
      <c r="U46" s="43"/>
      <c r="V46" s="43"/>
      <c r="W46" s="43"/>
      <c r="X46" s="43"/>
      <c r="Y46" s="43"/>
      <c r="Z46" s="43"/>
    </row>
    <row r="47">
      <c r="A47" s="37" t="str">
        <f t="shared" si="1"/>
        <v>Module1 -39</v>
      </c>
      <c r="B47" s="41"/>
      <c r="C47" s="41"/>
      <c r="D47" s="39" t="s">
        <v>141</v>
      </c>
      <c r="E47" s="39"/>
      <c r="F47" s="48" t="s">
        <v>142</v>
      </c>
      <c r="G47" s="37"/>
      <c r="H47" s="39" t="s">
        <v>143</v>
      </c>
      <c r="I47" s="39" t="s">
        <v>2</v>
      </c>
      <c r="J47" s="44"/>
      <c r="K47" s="37"/>
      <c r="L47" s="50"/>
      <c r="M47" s="43"/>
      <c r="N47" s="43"/>
      <c r="O47" s="43"/>
      <c r="P47" s="43"/>
      <c r="Q47" s="43"/>
      <c r="R47" s="43"/>
      <c r="S47" s="43"/>
      <c r="T47" s="43"/>
      <c r="U47" s="43"/>
      <c r="V47" s="43"/>
      <c r="W47" s="43"/>
      <c r="X47" s="43"/>
      <c r="Y47" s="43"/>
      <c r="Z47" s="43"/>
    </row>
    <row r="48">
      <c r="A48" s="37" t="str">
        <f t="shared" si="1"/>
        <v>Module1 -40</v>
      </c>
      <c r="B48" s="41"/>
      <c r="C48" s="41"/>
      <c r="D48" s="39" t="s">
        <v>144</v>
      </c>
      <c r="E48" s="39"/>
      <c r="F48" s="48" t="s">
        <v>145</v>
      </c>
      <c r="G48" s="37"/>
      <c r="H48" s="39" t="s">
        <v>146</v>
      </c>
      <c r="I48" s="39" t="s">
        <v>5</v>
      </c>
      <c r="J48" s="44"/>
      <c r="K48" s="39" t="s">
        <v>147</v>
      </c>
      <c r="L48" s="50"/>
      <c r="M48" s="43"/>
      <c r="N48" s="43"/>
      <c r="O48" s="43"/>
      <c r="P48" s="43"/>
      <c r="Q48" s="43"/>
      <c r="R48" s="43"/>
      <c r="S48" s="43"/>
      <c r="T48" s="43"/>
      <c r="U48" s="43"/>
      <c r="V48" s="43"/>
      <c r="W48" s="43"/>
      <c r="X48" s="43"/>
      <c r="Y48" s="43"/>
      <c r="Z48" s="43"/>
    </row>
    <row r="49">
      <c r="A49" s="37" t="str">
        <f t="shared" si="1"/>
        <v>Module1 -41</v>
      </c>
      <c r="B49" s="41"/>
      <c r="C49" s="41"/>
      <c r="D49" s="39" t="s">
        <v>148</v>
      </c>
      <c r="E49" s="39"/>
      <c r="F49" s="48" t="s">
        <v>149</v>
      </c>
      <c r="G49" s="37"/>
      <c r="H49" s="39" t="s">
        <v>150</v>
      </c>
      <c r="I49" s="39" t="s">
        <v>2</v>
      </c>
      <c r="J49" s="44"/>
      <c r="K49" s="37"/>
      <c r="L49" s="50"/>
      <c r="M49" s="43"/>
      <c r="N49" s="43"/>
      <c r="O49" s="43"/>
      <c r="P49" s="43"/>
      <c r="Q49" s="43"/>
      <c r="R49" s="43"/>
      <c r="S49" s="43"/>
      <c r="T49" s="43"/>
      <c r="U49" s="43"/>
      <c r="V49" s="43"/>
      <c r="W49" s="43"/>
      <c r="X49" s="43"/>
      <c r="Y49" s="43"/>
      <c r="Z49" s="43"/>
    </row>
    <row r="50">
      <c r="A50" s="37" t="str">
        <f t="shared" si="1"/>
        <v>Module1 -42</v>
      </c>
      <c r="B50" s="42"/>
      <c r="C50" s="42"/>
      <c r="D50" s="39" t="s">
        <v>151</v>
      </c>
      <c r="E50" s="39"/>
      <c r="F50" s="48" t="s">
        <v>152</v>
      </c>
      <c r="G50" s="37"/>
      <c r="H50" s="39" t="s">
        <v>153</v>
      </c>
      <c r="I50" s="39" t="s">
        <v>5</v>
      </c>
      <c r="J50" s="44"/>
      <c r="K50" s="39" t="s">
        <v>154</v>
      </c>
      <c r="L50" s="50"/>
      <c r="M50" s="43"/>
      <c r="N50" s="43"/>
      <c r="O50" s="43"/>
      <c r="P50" s="43"/>
      <c r="Q50" s="43"/>
      <c r="R50" s="43"/>
      <c r="S50" s="43"/>
      <c r="T50" s="43"/>
      <c r="U50" s="43"/>
      <c r="V50" s="43"/>
      <c r="W50" s="43"/>
      <c r="X50" s="43"/>
      <c r="Y50" s="43"/>
      <c r="Z50" s="43"/>
    </row>
  </sheetData>
  <mergeCells count="10">
    <mergeCell ref="C39:C41"/>
    <mergeCell ref="C43:C44"/>
    <mergeCell ref="B9:B12"/>
    <mergeCell ref="B13:B20"/>
    <mergeCell ref="B21:B41"/>
    <mergeCell ref="C21:C29"/>
    <mergeCell ref="C30:C33"/>
    <mergeCell ref="C34:C38"/>
    <mergeCell ref="B42:B50"/>
    <mergeCell ref="C45:C50"/>
  </mergeCells>
  <conditionalFormatting sqref="I9:I50">
    <cfRule type="containsText" dxfId="0" priority="1" operator="containsText" text="Pass">
      <formula>NOT(ISERROR(SEARCH(("Pass"),(I9))))</formula>
    </cfRule>
  </conditionalFormatting>
  <conditionalFormatting sqref="I9:I50">
    <cfRule type="containsText" dxfId="1" priority="2" operator="containsText" text="&quot;N/A&quot;">
      <formula>NOT(ISERROR(SEARCH(("""N/A"""),(I9))))</formula>
    </cfRule>
  </conditionalFormatting>
  <conditionalFormatting sqref="I9:I50">
    <cfRule type="containsText" dxfId="2" priority="3" operator="containsText" text="Fail">
      <formula>NOT(ISERROR(SEARCH(("Fail"),(I9))))</formula>
    </cfRule>
  </conditionalFormatting>
  <conditionalFormatting sqref="I9:I50">
    <cfRule type="containsText" dxfId="3" priority="4" operator="containsText" text="&quot;Pass&quot;">
      <formula>NOT(ISERROR(SEARCH(("""Pass"""),(I9))))</formula>
    </cfRule>
  </conditionalFormatting>
  <conditionalFormatting sqref="I13 I22:I25">
    <cfRule type="containsText" dxfId="0" priority="5" operator="containsText" text="Pass">
      <formula>NOT(ISERROR(SEARCH(("Pass"),(I13))))</formula>
    </cfRule>
  </conditionalFormatting>
  <conditionalFormatting sqref="I13 I22:I25">
    <cfRule type="containsText" dxfId="1" priority="6" operator="containsText" text="&quot;N/A&quot;">
      <formula>NOT(ISERROR(SEARCH(("""N/A"""),(I13))))</formula>
    </cfRule>
  </conditionalFormatting>
  <conditionalFormatting sqref="I13 I22:I25">
    <cfRule type="containsText" dxfId="4" priority="7" operator="containsText" text="&quot;Fail&quot;">
      <formula>NOT(ISERROR(SEARCH(("""Fail"""),(I13))))</formula>
    </cfRule>
  </conditionalFormatting>
  <conditionalFormatting sqref="I13 I22:I25">
    <cfRule type="containsText" dxfId="3" priority="8" operator="containsText" text="&quot;Pass&quot;">
      <formula>NOT(ISERROR(SEARCH(("""Pass"""),(I13))))</formula>
    </cfRule>
  </conditionalFormatting>
  <conditionalFormatting sqref="I14">
    <cfRule type="containsText" dxfId="0" priority="9" operator="containsText" text="Pass">
      <formula>NOT(ISERROR(SEARCH(("Pass"),(I14))))</formula>
    </cfRule>
  </conditionalFormatting>
  <conditionalFormatting sqref="I14">
    <cfRule type="containsText" dxfId="1" priority="10" operator="containsText" text="&quot;N/A&quot;">
      <formula>NOT(ISERROR(SEARCH(("""N/A"""),(I14))))</formula>
    </cfRule>
  </conditionalFormatting>
  <conditionalFormatting sqref="I14">
    <cfRule type="containsText" dxfId="5" priority="11" operator="containsText" text="Fail">
      <formula>NOT(ISERROR(SEARCH(("Fail"),(I14))))</formula>
    </cfRule>
  </conditionalFormatting>
  <conditionalFormatting sqref="I14">
    <cfRule type="containsText" dxfId="3" priority="12" operator="containsText" text="&quot;Pass&quot;">
      <formula>NOT(ISERROR(SEARCH(("""Pass"""),(I14))))</formula>
    </cfRule>
  </conditionalFormatting>
  <conditionalFormatting sqref="I15 I24:I25">
    <cfRule type="containsText" dxfId="0" priority="13" operator="containsText" text="&quot;Pass&quot;">
      <formula>NOT(ISERROR(SEARCH(("""Pass"""),(I15))))</formula>
    </cfRule>
  </conditionalFormatting>
  <conditionalFormatting sqref="I15 I24:I25">
    <cfRule type="containsText" dxfId="1" priority="14" operator="containsText" text="&quot;N/A&quot;">
      <formula>NOT(ISERROR(SEARCH(("""N/A"""),(I15))))</formula>
    </cfRule>
  </conditionalFormatting>
  <conditionalFormatting sqref="I15 I24:I25">
    <cfRule type="containsText" dxfId="4" priority="15" operator="containsText" text="&quot;Fail&quot;">
      <formula>NOT(ISERROR(SEARCH(("""Fail"""),(I15))))</formula>
    </cfRule>
  </conditionalFormatting>
  <conditionalFormatting sqref="I15 I24:I25">
    <cfRule type="containsText" dxfId="3" priority="16" operator="containsText" text="&quot;Pass&quot;">
      <formula>NOT(ISERROR(SEARCH(("""Pass"""),(I15))))</formula>
    </cfRule>
  </conditionalFormatting>
  <conditionalFormatting sqref="I16:I25">
    <cfRule type="containsText" dxfId="0" priority="17" operator="containsText" text="&quot;Pass&quot;">
      <formula>NOT(ISERROR(SEARCH(("""Pass"""),(I16))))</formula>
    </cfRule>
  </conditionalFormatting>
  <conditionalFormatting sqref="I16:I25">
    <cfRule type="containsText" dxfId="1" priority="18" operator="containsText" text="&quot;N/A&quot;">
      <formula>NOT(ISERROR(SEARCH(("""N/A"""),(I16))))</formula>
    </cfRule>
  </conditionalFormatting>
  <conditionalFormatting sqref="I16:I25">
    <cfRule type="containsText" dxfId="4" priority="19" operator="containsText" text="&quot;Fail&quot;">
      <formula>NOT(ISERROR(SEARCH(("""Fail"""),(I16))))</formula>
    </cfRule>
  </conditionalFormatting>
  <conditionalFormatting sqref="I16:I25">
    <cfRule type="containsText" dxfId="3" priority="20" operator="containsText" text="&quot;Pass&quot;">
      <formula>NOT(ISERROR(SEARCH(("""Pass"""),(I16))))</formula>
    </cfRule>
  </conditionalFormatting>
  <dataValidations>
    <dataValidation type="list" allowBlank="1" showInputMessage="1" showErrorMessage="1" prompt=" - " sqref="I9:I50">
      <formula1>TC!$M$2:$M$5</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1"/>
</worksheet>
</file>